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harris\Desktop\tally spreadsheets 2026\"/>
    </mc:Choice>
  </mc:AlternateContent>
  <xr:revisionPtr revIDLastSave="0" documentId="8_{8AD78A2D-CF7B-4007-9D63-86D86FFFEB31}" xr6:coauthVersionLast="47" xr6:coauthVersionMax="47" xr10:uidLastSave="{00000000-0000-0000-0000-000000000000}"/>
  <workbookProtection workbookAlgorithmName="SHA-512" workbookHashValue="gZW5zq7j0IPP1j4jXVAtWLynU25eQWqLUVBZftaCJTh5uy/UKm3i6SNAEE4rFQx7pjVD2Ir/BrQVVvB2Cta9fQ==" workbookSaltValue="FjX7GSt8+Q1LPaMO5CCd8g==" workbookSpinCount="100000" lockStructure="1"/>
  <bookViews>
    <workbookView xWindow="-120" yWindow="-120" windowWidth="29040" windowHeight="15720" xr2:uid="{00000000-000D-0000-FFFF-FFFF00000000}"/>
  </bookViews>
  <sheets>
    <sheet name="Order Sheet Summary" sheetId="2" r:id="rId1"/>
    <sheet name="Order Pulling Sheet" sheetId="3" r:id="rId2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Sheet'!$A$1:$C$25</definedName>
    <definedName name="_xlnm.Print_Area" localSheetId="0">'Order Sheet Summary'!$A$1:$N$511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11" i="2" l="1"/>
  <c r="L511" i="2" s="1"/>
  <c r="I511" i="2"/>
  <c r="E511" i="2"/>
  <c r="D511" i="2"/>
  <c r="J510" i="2"/>
  <c r="L510" i="2" s="1"/>
  <c r="I510" i="2"/>
  <c r="E510" i="2"/>
  <c r="D510" i="2"/>
  <c r="J509" i="2"/>
  <c r="L509" i="2" s="1"/>
  <c r="I509" i="2"/>
  <c r="E509" i="2"/>
  <c r="D509" i="2"/>
  <c r="J508" i="2"/>
  <c r="L508" i="2" s="1"/>
  <c r="I508" i="2"/>
  <c r="E508" i="2"/>
  <c r="D508" i="2"/>
  <c r="J507" i="2"/>
  <c r="L507" i="2" s="1"/>
  <c r="I507" i="2"/>
  <c r="E507" i="2"/>
  <c r="D507" i="2"/>
  <c r="J506" i="2"/>
  <c r="L506" i="2" s="1"/>
  <c r="I506" i="2"/>
  <c r="E506" i="2"/>
  <c r="D506" i="2"/>
  <c r="J505" i="2"/>
  <c r="L505" i="2" s="1"/>
  <c r="I505" i="2"/>
  <c r="E505" i="2"/>
  <c r="D505" i="2"/>
  <c r="J504" i="2"/>
  <c r="L504" i="2" s="1"/>
  <c r="I504" i="2"/>
  <c r="E504" i="2"/>
  <c r="D504" i="2"/>
  <c r="J503" i="2"/>
  <c r="L503" i="2" s="1"/>
  <c r="I503" i="2"/>
  <c r="E503" i="2"/>
  <c r="D503" i="2"/>
  <c r="J502" i="2"/>
  <c r="L502" i="2" s="1"/>
  <c r="I502" i="2"/>
  <c r="E502" i="2"/>
  <c r="D502" i="2"/>
  <c r="J501" i="2"/>
  <c r="L501" i="2" s="1"/>
  <c r="I501" i="2"/>
  <c r="E501" i="2"/>
  <c r="D501" i="2"/>
  <c r="J500" i="2"/>
  <c r="L500" i="2" s="1"/>
  <c r="I500" i="2"/>
  <c r="E500" i="2"/>
  <c r="D500" i="2"/>
  <c r="J499" i="2"/>
  <c r="L499" i="2" s="1"/>
  <c r="I499" i="2"/>
  <c r="E499" i="2"/>
  <c r="D499" i="2"/>
  <c r="J498" i="2"/>
  <c r="L498" i="2" s="1"/>
  <c r="I498" i="2"/>
  <c r="E498" i="2"/>
  <c r="D498" i="2"/>
  <c r="J497" i="2"/>
  <c r="L497" i="2" s="1"/>
  <c r="I497" i="2"/>
  <c r="E497" i="2"/>
  <c r="D497" i="2"/>
  <c r="L496" i="2"/>
  <c r="J496" i="2"/>
  <c r="I496" i="2"/>
  <c r="E496" i="2"/>
  <c r="D496" i="2"/>
  <c r="J495" i="2"/>
  <c r="L495" i="2" s="1"/>
  <c r="I495" i="2"/>
  <c r="E495" i="2"/>
  <c r="D495" i="2"/>
  <c r="J494" i="2"/>
  <c r="L494" i="2" s="1"/>
  <c r="I494" i="2"/>
  <c r="E494" i="2"/>
  <c r="D494" i="2"/>
  <c r="J493" i="2"/>
  <c r="L493" i="2" s="1"/>
  <c r="I493" i="2"/>
  <c r="E493" i="2"/>
  <c r="D493" i="2"/>
  <c r="J492" i="2"/>
  <c r="L492" i="2" s="1"/>
  <c r="I492" i="2"/>
  <c r="E492" i="2"/>
  <c r="D492" i="2"/>
  <c r="J491" i="2"/>
  <c r="L491" i="2" s="1"/>
  <c r="I491" i="2"/>
  <c r="E491" i="2"/>
  <c r="D491" i="2"/>
  <c r="J490" i="2"/>
  <c r="L490" i="2" s="1"/>
  <c r="I490" i="2"/>
  <c r="E490" i="2"/>
  <c r="D490" i="2"/>
  <c r="J489" i="2"/>
  <c r="L489" i="2" s="1"/>
  <c r="I489" i="2"/>
  <c r="E489" i="2"/>
  <c r="D489" i="2"/>
  <c r="J488" i="2"/>
  <c r="L488" i="2" s="1"/>
  <c r="I488" i="2"/>
  <c r="E488" i="2"/>
  <c r="D488" i="2"/>
  <c r="J487" i="2"/>
  <c r="L487" i="2" s="1"/>
  <c r="I487" i="2"/>
  <c r="E487" i="2"/>
  <c r="D487" i="2"/>
  <c r="J486" i="2"/>
  <c r="L486" i="2" s="1"/>
  <c r="I486" i="2"/>
  <c r="E486" i="2"/>
  <c r="D486" i="2"/>
  <c r="J485" i="2"/>
  <c r="L485" i="2" s="1"/>
  <c r="I485" i="2"/>
  <c r="E485" i="2"/>
  <c r="D485" i="2"/>
  <c r="J484" i="2"/>
  <c r="L484" i="2" s="1"/>
  <c r="I484" i="2"/>
  <c r="E484" i="2"/>
  <c r="D484" i="2"/>
  <c r="J483" i="2"/>
  <c r="L483" i="2" s="1"/>
  <c r="I483" i="2"/>
  <c r="E483" i="2"/>
  <c r="D483" i="2"/>
  <c r="J482" i="2"/>
  <c r="L482" i="2" s="1"/>
  <c r="I482" i="2"/>
  <c r="E482" i="2"/>
  <c r="D482" i="2"/>
  <c r="J481" i="2"/>
  <c r="L481" i="2" s="1"/>
  <c r="I481" i="2"/>
  <c r="E481" i="2"/>
  <c r="D481" i="2"/>
  <c r="J480" i="2"/>
  <c r="L480" i="2" s="1"/>
  <c r="I480" i="2"/>
  <c r="E480" i="2"/>
  <c r="D480" i="2"/>
  <c r="J479" i="2"/>
  <c r="L479" i="2" s="1"/>
  <c r="I479" i="2"/>
  <c r="E479" i="2"/>
  <c r="D479" i="2"/>
  <c r="J478" i="2"/>
  <c r="L478" i="2" s="1"/>
  <c r="I478" i="2"/>
  <c r="E478" i="2"/>
  <c r="D478" i="2"/>
  <c r="J477" i="2"/>
  <c r="L477" i="2" s="1"/>
  <c r="I477" i="2"/>
  <c r="E477" i="2"/>
  <c r="D477" i="2"/>
  <c r="J476" i="2"/>
  <c r="L476" i="2" s="1"/>
  <c r="I476" i="2"/>
  <c r="E476" i="2"/>
  <c r="D476" i="2"/>
  <c r="J475" i="2"/>
  <c r="L475" i="2" s="1"/>
  <c r="I475" i="2"/>
  <c r="E475" i="2"/>
  <c r="D475" i="2"/>
  <c r="J474" i="2"/>
  <c r="L474" i="2" s="1"/>
  <c r="I474" i="2"/>
  <c r="E474" i="2"/>
  <c r="D474" i="2"/>
  <c r="J473" i="2"/>
  <c r="L473" i="2" s="1"/>
  <c r="I473" i="2"/>
  <c r="E473" i="2"/>
  <c r="D473" i="2"/>
  <c r="J472" i="2"/>
  <c r="L472" i="2" s="1"/>
  <c r="I472" i="2"/>
  <c r="E472" i="2"/>
  <c r="D472" i="2"/>
  <c r="J471" i="2"/>
  <c r="L471" i="2" s="1"/>
  <c r="I471" i="2"/>
  <c r="E471" i="2"/>
  <c r="D471" i="2"/>
  <c r="J470" i="2"/>
  <c r="L470" i="2" s="1"/>
  <c r="I470" i="2"/>
  <c r="E470" i="2"/>
  <c r="D470" i="2"/>
  <c r="J469" i="2"/>
  <c r="L469" i="2" s="1"/>
  <c r="I469" i="2"/>
  <c r="E469" i="2"/>
  <c r="D469" i="2"/>
  <c r="J468" i="2"/>
  <c r="L468" i="2" s="1"/>
  <c r="I468" i="2"/>
  <c r="E468" i="2"/>
  <c r="D468" i="2"/>
  <c r="J467" i="2"/>
  <c r="L467" i="2" s="1"/>
  <c r="I467" i="2"/>
  <c r="E467" i="2"/>
  <c r="D467" i="2"/>
  <c r="J466" i="2"/>
  <c r="L466" i="2" s="1"/>
  <c r="I466" i="2"/>
  <c r="E466" i="2"/>
  <c r="D466" i="2"/>
  <c r="J465" i="2"/>
  <c r="L465" i="2" s="1"/>
  <c r="I465" i="2"/>
  <c r="E465" i="2"/>
  <c r="D465" i="2"/>
  <c r="L464" i="2"/>
  <c r="J464" i="2"/>
  <c r="I464" i="2"/>
  <c r="E464" i="2"/>
  <c r="D464" i="2"/>
  <c r="J463" i="2"/>
  <c r="L463" i="2" s="1"/>
  <c r="I463" i="2"/>
  <c r="E463" i="2"/>
  <c r="D463" i="2"/>
  <c r="J462" i="2"/>
  <c r="L462" i="2" s="1"/>
  <c r="I462" i="2"/>
  <c r="E462" i="2"/>
  <c r="D462" i="2"/>
  <c r="J461" i="2"/>
  <c r="L461" i="2" s="1"/>
  <c r="I461" i="2"/>
  <c r="E461" i="2"/>
  <c r="D461" i="2"/>
  <c r="J460" i="2"/>
  <c r="L460" i="2" s="1"/>
  <c r="I460" i="2"/>
  <c r="E460" i="2"/>
  <c r="D460" i="2"/>
  <c r="J459" i="2"/>
  <c r="L459" i="2" s="1"/>
  <c r="I459" i="2"/>
  <c r="E459" i="2"/>
  <c r="D459" i="2"/>
  <c r="J458" i="2"/>
  <c r="L458" i="2" s="1"/>
  <c r="I458" i="2"/>
  <c r="E458" i="2"/>
  <c r="D458" i="2"/>
  <c r="J457" i="2"/>
  <c r="L457" i="2" s="1"/>
  <c r="I457" i="2"/>
  <c r="E457" i="2"/>
  <c r="D457" i="2"/>
  <c r="J456" i="2"/>
  <c r="L456" i="2" s="1"/>
  <c r="I456" i="2"/>
  <c r="E456" i="2"/>
  <c r="D456" i="2"/>
  <c r="J455" i="2"/>
  <c r="L455" i="2" s="1"/>
  <c r="I455" i="2"/>
  <c r="E455" i="2"/>
  <c r="D455" i="2"/>
  <c r="J454" i="2"/>
  <c r="L454" i="2" s="1"/>
  <c r="I454" i="2"/>
  <c r="E454" i="2"/>
  <c r="D454" i="2"/>
  <c r="J453" i="2"/>
  <c r="L453" i="2" s="1"/>
  <c r="I453" i="2"/>
  <c r="E453" i="2"/>
  <c r="D453" i="2"/>
  <c r="J452" i="2"/>
  <c r="L452" i="2" s="1"/>
  <c r="I452" i="2"/>
  <c r="E452" i="2"/>
  <c r="D452" i="2"/>
  <c r="J451" i="2"/>
  <c r="L451" i="2" s="1"/>
  <c r="I451" i="2"/>
  <c r="E451" i="2"/>
  <c r="D451" i="2"/>
  <c r="J450" i="2"/>
  <c r="L450" i="2" s="1"/>
  <c r="I450" i="2"/>
  <c r="E450" i="2"/>
  <c r="D450" i="2"/>
  <c r="J449" i="2"/>
  <c r="L449" i="2" s="1"/>
  <c r="I449" i="2"/>
  <c r="E449" i="2"/>
  <c r="D449" i="2"/>
  <c r="J448" i="2"/>
  <c r="L448" i="2" s="1"/>
  <c r="I448" i="2"/>
  <c r="E448" i="2"/>
  <c r="D448" i="2"/>
  <c r="J447" i="2"/>
  <c r="L447" i="2" s="1"/>
  <c r="I447" i="2"/>
  <c r="E447" i="2"/>
  <c r="D447" i="2"/>
  <c r="J446" i="2"/>
  <c r="L446" i="2" s="1"/>
  <c r="I446" i="2"/>
  <c r="E446" i="2"/>
  <c r="D446" i="2"/>
  <c r="J445" i="2"/>
  <c r="L445" i="2" s="1"/>
  <c r="I445" i="2"/>
  <c r="E445" i="2"/>
  <c r="D445" i="2"/>
  <c r="J444" i="2"/>
  <c r="L444" i="2" s="1"/>
  <c r="I444" i="2"/>
  <c r="E444" i="2"/>
  <c r="D444" i="2"/>
  <c r="J443" i="2"/>
  <c r="L443" i="2" s="1"/>
  <c r="I443" i="2"/>
  <c r="E443" i="2"/>
  <c r="D443" i="2"/>
  <c r="L442" i="2"/>
  <c r="J442" i="2"/>
  <c r="I442" i="2"/>
  <c r="E442" i="2"/>
  <c r="D442" i="2"/>
  <c r="J441" i="2"/>
  <c r="L441" i="2" s="1"/>
  <c r="I441" i="2"/>
  <c r="E441" i="2"/>
  <c r="D441" i="2"/>
  <c r="J440" i="2"/>
  <c r="L440" i="2" s="1"/>
  <c r="I440" i="2"/>
  <c r="E440" i="2"/>
  <c r="D440" i="2"/>
  <c r="J439" i="2"/>
  <c r="L439" i="2" s="1"/>
  <c r="I439" i="2"/>
  <c r="E439" i="2"/>
  <c r="D439" i="2"/>
  <c r="J438" i="2"/>
  <c r="L438" i="2" s="1"/>
  <c r="I438" i="2"/>
  <c r="E438" i="2"/>
  <c r="D438" i="2"/>
  <c r="J437" i="2"/>
  <c r="L437" i="2" s="1"/>
  <c r="I437" i="2"/>
  <c r="E437" i="2"/>
  <c r="D437" i="2"/>
  <c r="J436" i="2"/>
  <c r="L436" i="2" s="1"/>
  <c r="I436" i="2"/>
  <c r="E436" i="2"/>
  <c r="D436" i="2"/>
  <c r="J435" i="2"/>
  <c r="L435" i="2" s="1"/>
  <c r="I435" i="2"/>
  <c r="E435" i="2"/>
  <c r="D435" i="2"/>
  <c r="J434" i="2"/>
  <c r="L434" i="2" s="1"/>
  <c r="I434" i="2"/>
  <c r="E434" i="2"/>
  <c r="D434" i="2"/>
  <c r="J433" i="2"/>
  <c r="L433" i="2" s="1"/>
  <c r="I433" i="2"/>
  <c r="E433" i="2"/>
  <c r="D433" i="2"/>
  <c r="J432" i="2"/>
  <c r="L432" i="2" s="1"/>
  <c r="I432" i="2"/>
  <c r="E432" i="2"/>
  <c r="D432" i="2"/>
  <c r="J431" i="2"/>
  <c r="L431" i="2" s="1"/>
  <c r="I431" i="2"/>
  <c r="E431" i="2"/>
  <c r="D431" i="2"/>
  <c r="J430" i="2"/>
  <c r="L430" i="2" s="1"/>
  <c r="I430" i="2"/>
  <c r="E430" i="2"/>
  <c r="D430" i="2"/>
  <c r="J429" i="2"/>
  <c r="L429" i="2" s="1"/>
  <c r="I429" i="2"/>
  <c r="E429" i="2"/>
  <c r="D429" i="2"/>
  <c r="J428" i="2"/>
  <c r="L428" i="2" s="1"/>
  <c r="I428" i="2"/>
  <c r="E428" i="2"/>
  <c r="D428" i="2"/>
  <c r="J427" i="2"/>
  <c r="L427" i="2" s="1"/>
  <c r="I427" i="2"/>
  <c r="E427" i="2"/>
  <c r="D427" i="2"/>
  <c r="J426" i="2"/>
  <c r="L426" i="2" s="1"/>
  <c r="I426" i="2"/>
  <c r="E426" i="2"/>
  <c r="D426" i="2"/>
  <c r="J425" i="2"/>
  <c r="L425" i="2" s="1"/>
  <c r="I425" i="2"/>
  <c r="E425" i="2"/>
  <c r="D425" i="2"/>
  <c r="J424" i="2"/>
  <c r="L424" i="2" s="1"/>
  <c r="I424" i="2"/>
  <c r="E424" i="2"/>
  <c r="D424" i="2"/>
  <c r="J423" i="2"/>
  <c r="L423" i="2" s="1"/>
  <c r="I423" i="2"/>
  <c r="E423" i="2"/>
  <c r="D423" i="2"/>
  <c r="J422" i="2"/>
  <c r="L422" i="2" s="1"/>
  <c r="I422" i="2"/>
  <c r="E422" i="2"/>
  <c r="D422" i="2"/>
  <c r="J421" i="2"/>
  <c r="L421" i="2" s="1"/>
  <c r="I421" i="2"/>
  <c r="E421" i="2"/>
  <c r="D421" i="2"/>
  <c r="J420" i="2"/>
  <c r="L420" i="2" s="1"/>
  <c r="I420" i="2"/>
  <c r="E420" i="2"/>
  <c r="D420" i="2"/>
  <c r="J419" i="2"/>
  <c r="L419" i="2" s="1"/>
  <c r="I419" i="2"/>
  <c r="E419" i="2"/>
  <c r="D419" i="2"/>
  <c r="J418" i="2"/>
  <c r="L418" i="2" s="1"/>
  <c r="I418" i="2"/>
  <c r="E418" i="2"/>
  <c r="D418" i="2"/>
  <c r="J417" i="2"/>
  <c r="L417" i="2" s="1"/>
  <c r="I417" i="2"/>
  <c r="E417" i="2"/>
  <c r="D417" i="2"/>
  <c r="J416" i="2"/>
  <c r="L416" i="2" s="1"/>
  <c r="I416" i="2"/>
  <c r="E416" i="2"/>
  <c r="D416" i="2"/>
  <c r="J415" i="2"/>
  <c r="L415" i="2" s="1"/>
  <c r="I415" i="2"/>
  <c r="E415" i="2"/>
  <c r="D415" i="2"/>
  <c r="J414" i="2"/>
  <c r="L414" i="2" s="1"/>
  <c r="I414" i="2"/>
  <c r="E414" i="2"/>
  <c r="D414" i="2"/>
  <c r="J413" i="2"/>
  <c r="L413" i="2" s="1"/>
  <c r="I413" i="2"/>
  <c r="E413" i="2"/>
  <c r="D413" i="2"/>
  <c r="J412" i="2"/>
  <c r="L412" i="2" s="1"/>
  <c r="I412" i="2"/>
  <c r="E412" i="2"/>
  <c r="D412" i="2"/>
  <c r="J411" i="2"/>
  <c r="L411" i="2" s="1"/>
  <c r="I411" i="2"/>
  <c r="E411" i="2"/>
  <c r="D411" i="2"/>
  <c r="J410" i="2"/>
  <c r="L410" i="2" s="1"/>
  <c r="I410" i="2"/>
  <c r="E410" i="2"/>
  <c r="D410" i="2"/>
  <c r="J409" i="2"/>
  <c r="L409" i="2" s="1"/>
  <c r="I409" i="2"/>
  <c r="E409" i="2"/>
  <c r="D409" i="2"/>
  <c r="J408" i="2"/>
  <c r="L408" i="2" s="1"/>
  <c r="I408" i="2"/>
  <c r="E408" i="2"/>
  <c r="D408" i="2"/>
  <c r="J407" i="2"/>
  <c r="L407" i="2" s="1"/>
  <c r="I407" i="2"/>
  <c r="E407" i="2"/>
  <c r="D407" i="2"/>
  <c r="J406" i="2"/>
  <c r="L406" i="2" s="1"/>
  <c r="I406" i="2"/>
  <c r="E406" i="2"/>
  <c r="D406" i="2"/>
  <c r="J405" i="2"/>
  <c r="L405" i="2" s="1"/>
  <c r="I405" i="2"/>
  <c r="E405" i="2"/>
  <c r="D405" i="2"/>
  <c r="J404" i="2"/>
  <c r="L404" i="2" s="1"/>
  <c r="I404" i="2"/>
  <c r="E404" i="2"/>
  <c r="D404" i="2"/>
  <c r="J403" i="2"/>
  <c r="L403" i="2" s="1"/>
  <c r="I403" i="2"/>
  <c r="E403" i="2"/>
  <c r="D403" i="2"/>
  <c r="J402" i="2"/>
  <c r="L402" i="2" s="1"/>
  <c r="I402" i="2"/>
  <c r="E402" i="2"/>
  <c r="D402" i="2"/>
  <c r="J401" i="2"/>
  <c r="L401" i="2" s="1"/>
  <c r="I401" i="2"/>
  <c r="E401" i="2"/>
  <c r="D401" i="2"/>
  <c r="J400" i="2"/>
  <c r="L400" i="2" s="1"/>
  <c r="I400" i="2"/>
  <c r="E400" i="2"/>
  <c r="D400" i="2"/>
  <c r="J399" i="2"/>
  <c r="L399" i="2" s="1"/>
  <c r="I399" i="2"/>
  <c r="E399" i="2"/>
  <c r="D399" i="2"/>
  <c r="J398" i="2"/>
  <c r="L398" i="2" s="1"/>
  <c r="I398" i="2"/>
  <c r="E398" i="2"/>
  <c r="D398" i="2"/>
  <c r="J397" i="2"/>
  <c r="L397" i="2" s="1"/>
  <c r="I397" i="2"/>
  <c r="E397" i="2"/>
  <c r="D397" i="2"/>
  <c r="J396" i="2"/>
  <c r="L396" i="2" s="1"/>
  <c r="I396" i="2"/>
  <c r="E396" i="2"/>
  <c r="D396" i="2"/>
  <c r="J395" i="2"/>
  <c r="L395" i="2" s="1"/>
  <c r="I395" i="2"/>
  <c r="E395" i="2"/>
  <c r="D395" i="2"/>
  <c r="J394" i="2"/>
  <c r="L394" i="2" s="1"/>
  <c r="I394" i="2"/>
  <c r="E394" i="2"/>
  <c r="D394" i="2"/>
  <c r="J393" i="2"/>
  <c r="L393" i="2" s="1"/>
  <c r="I393" i="2"/>
  <c r="E393" i="2"/>
  <c r="D393" i="2"/>
  <c r="J392" i="2"/>
  <c r="L392" i="2" s="1"/>
  <c r="I392" i="2"/>
  <c r="E392" i="2"/>
  <c r="D392" i="2"/>
  <c r="J391" i="2"/>
  <c r="L391" i="2" s="1"/>
  <c r="I391" i="2"/>
  <c r="E391" i="2"/>
  <c r="D391" i="2"/>
  <c r="L390" i="2"/>
  <c r="J390" i="2"/>
  <c r="I390" i="2"/>
  <c r="E390" i="2"/>
  <c r="D390" i="2"/>
  <c r="J389" i="2"/>
  <c r="L389" i="2" s="1"/>
  <c r="I389" i="2"/>
  <c r="E389" i="2"/>
  <c r="D389" i="2"/>
  <c r="J388" i="2"/>
  <c r="L388" i="2" s="1"/>
  <c r="I388" i="2"/>
  <c r="E388" i="2"/>
  <c r="D388" i="2"/>
  <c r="J387" i="2"/>
  <c r="L387" i="2" s="1"/>
  <c r="I387" i="2"/>
  <c r="E387" i="2"/>
  <c r="D387" i="2"/>
  <c r="J386" i="2"/>
  <c r="L386" i="2" s="1"/>
  <c r="I386" i="2"/>
  <c r="E386" i="2"/>
  <c r="D386" i="2"/>
  <c r="J385" i="2"/>
  <c r="L385" i="2" s="1"/>
  <c r="I385" i="2"/>
  <c r="E385" i="2"/>
  <c r="D385" i="2"/>
  <c r="J384" i="2"/>
  <c r="L384" i="2" s="1"/>
  <c r="I384" i="2"/>
  <c r="E384" i="2"/>
  <c r="D384" i="2"/>
  <c r="J383" i="2"/>
  <c r="L383" i="2" s="1"/>
  <c r="I383" i="2"/>
  <c r="E383" i="2"/>
  <c r="D383" i="2"/>
  <c r="J382" i="2"/>
  <c r="L382" i="2" s="1"/>
  <c r="I382" i="2"/>
  <c r="E382" i="2"/>
  <c r="D382" i="2"/>
  <c r="J381" i="2"/>
  <c r="L381" i="2" s="1"/>
  <c r="I381" i="2"/>
  <c r="E381" i="2"/>
  <c r="D381" i="2"/>
  <c r="J380" i="2"/>
  <c r="L380" i="2" s="1"/>
  <c r="I380" i="2"/>
  <c r="E380" i="2"/>
  <c r="D380" i="2"/>
  <c r="J379" i="2"/>
  <c r="L379" i="2" s="1"/>
  <c r="I379" i="2"/>
  <c r="E379" i="2"/>
  <c r="D379" i="2"/>
  <c r="J378" i="2"/>
  <c r="L378" i="2" s="1"/>
  <c r="I378" i="2"/>
  <c r="E378" i="2"/>
  <c r="D378" i="2"/>
  <c r="J377" i="2"/>
  <c r="L377" i="2" s="1"/>
  <c r="I377" i="2"/>
  <c r="E377" i="2"/>
  <c r="D377" i="2"/>
  <c r="J376" i="2"/>
  <c r="L376" i="2" s="1"/>
  <c r="I376" i="2"/>
  <c r="E376" i="2"/>
  <c r="D376" i="2"/>
  <c r="J375" i="2"/>
  <c r="L375" i="2" s="1"/>
  <c r="I375" i="2"/>
  <c r="E375" i="2"/>
  <c r="D375" i="2"/>
  <c r="J374" i="2"/>
  <c r="L374" i="2" s="1"/>
  <c r="I374" i="2"/>
  <c r="E374" i="2"/>
  <c r="D374" i="2"/>
  <c r="J373" i="2"/>
  <c r="L373" i="2" s="1"/>
  <c r="I373" i="2"/>
  <c r="E373" i="2"/>
  <c r="D373" i="2"/>
  <c r="J372" i="2"/>
  <c r="L372" i="2" s="1"/>
  <c r="I372" i="2"/>
  <c r="E372" i="2"/>
  <c r="D372" i="2"/>
  <c r="J371" i="2"/>
  <c r="L371" i="2" s="1"/>
  <c r="I371" i="2"/>
  <c r="E371" i="2"/>
  <c r="D371" i="2"/>
  <c r="J370" i="2"/>
  <c r="L370" i="2" s="1"/>
  <c r="I370" i="2"/>
  <c r="E370" i="2"/>
  <c r="D370" i="2"/>
  <c r="J369" i="2"/>
  <c r="L369" i="2" s="1"/>
  <c r="I369" i="2"/>
  <c r="E369" i="2"/>
  <c r="D369" i="2"/>
  <c r="J368" i="2"/>
  <c r="L368" i="2" s="1"/>
  <c r="I368" i="2"/>
  <c r="E368" i="2"/>
  <c r="D368" i="2"/>
  <c r="J367" i="2"/>
  <c r="L367" i="2" s="1"/>
  <c r="I367" i="2"/>
  <c r="E367" i="2"/>
  <c r="D367" i="2"/>
  <c r="J366" i="2"/>
  <c r="L366" i="2" s="1"/>
  <c r="I366" i="2"/>
  <c r="E366" i="2"/>
  <c r="D366" i="2"/>
  <c r="J365" i="2"/>
  <c r="L365" i="2" s="1"/>
  <c r="I365" i="2"/>
  <c r="E365" i="2"/>
  <c r="D365" i="2"/>
  <c r="J364" i="2"/>
  <c r="L364" i="2" s="1"/>
  <c r="I364" i="2"/>
  <c r="E364" i="2"/>
  <c r="D364" i="2"/>
  <c r="J363" i="2"/>
  <c r="L363" i="2" s="1"/>
  <c r="I363" i="2"/>
  <c r="E363" i="2"/>
  <c r="D363" i="2"/>
  <c r="J362" i="2"/>
  <c r="L362" i="2" s="1"/>
  <c r="I362" i="2"/>
  <c r="E362" i="2"/>
  <c r="D362" i="2"/>
  <c r="J361" i="2"/>
  <c r="L361" i="2" s="1"/>
  <c r="I361" i="2"/>
  <c r="E361" i="2"/>
  <c r="D361" i="2"/>
  <c r="J360" i="2"/>
  <c r="L360" i="2" s="1"/>
  <c r="I360" i="2"/>
  <c r="E360" i="2"/>
  <c r="D360" i="2"/>
  <c r="J359" i="2"/>
  <c r="L359" i="2" s="1"/>
  <c r="I359" i="2"/>
  <c r="E359" i="2"/>
  <c r="D359" i="2"/>
  <c r="J358" i="2"/>
  <c r="L358" i="2" s="1"/>
  <c r="I358" i="2"/>
  <c r="E358" i="2"/>
  <c r="D358" i="2"/>
  <c r="J357" i="2"/>
  <c r="L357" i="2" s="1"/>
  <c r="I357" i="2"/>
  <c r="E357" i="2"/>
  <c r="D357" i="2"/>
  <c r="J356" i="2"/>
  <c r="L356" i="2" s="1"/>
  <c r="I356" i="2"/>
  <c r="E356" i="2"/>
  <c r="D356" i="2"/>
  <c r="J355" i="2"/>
  <c r="L355" i="2" s="1"/>
  <c r="I355" i="2"/>
  <c r="E355" i="2"/>
  <c r="D355" i="2"/>
  <c r="J354" i="2"/>
  <c r="L354" i="2" s="1"/>
  <c r="I354" i="2"/>
  <c r="E354" i="2"/>
  <c r="D354" i="2"/>
  <c r="J353" i="2"/>
  <c r="L353" i="2" s="1"/>
  <c r="I353" i="2"/>
  <c r="E353" i="2"/>
  <c r="D353" i="2"/>
  <c r="J352" i="2"/>
  <c r="L352" i="2" s="1"/>
  <c r="I352" i="2"/>
  <c r="E352" i="2"/>
  <c r="D352" i="2"/>
  <c r="J351" i="2"/>
  <c r="L351" i="2" s="1"/>
  <c r="I351" i="2"/>
  <c r="E351" i="2"/>
  <c r="D351" i="2"/>
  <c r="J350" i="2"/>
  <c r="L350" i="2" s="1"/>
  <c r="I350" i="2"/>
  <c r="E350" i="2"/>
  <c r="D350" i="2"/>
  <c r="J349" i="2"/>
  <c r="L349" i="2" s="1"/>
  <c r="I349" i="2"/>
  <c r="E349" i="2"/>
  <c r="D349" i="2"/>
  <c r="J348" i="2"/>
  <c r="L348" i="2" s="1"/>
  <c r="I348" i="2"/>
  <c r="E348" i="2"/>
  <c r="D348" i="2"/>
  <c r="J347" i="2"/>
  <c r="L347" i="2" s="1"/>
  <c r="I347" i="2"/>
  <c r="E347" i="2"/>
  <c r="D347" i="2"/>
  <c r="J346" i="2"/>
  <c r="L346" i="2" s="1"/>
  <c r="I346" i="2"/>
  <c r="E346" i="2"/>
  <c r="D346" i="2"/>
  <c r="J345" i="2"/>
  <c r="L345" i="2" s="1"/>
  <c r="I345" i="2"/>
  <c r="E345" i="2"/>
  <c r="D345" i="2"/>
  <c r="J344" i="2"/>
  <c r="L344" i="2" s="1"/>
  <c r="I344" i="2"/>
  <c r="E344" i="2"/>
  <c r="D344" i="2"/>
  <c r="J343" i="2"/>
  <c r="L343" i="2" s="1"/>
  <c r="I343" i="2"/>
  <c r="E343" i="2"/>
  <c r="D343" i="2"/>
  <c r="J342" i="2"/>
  <c r="L342" i="2" s="1"/>
  <c r="I342" i="2"/>
  <c r="E342" i="2"/>
  <c r="D342" i="2"/>
  <c r="J341" i="2"/>
  <c r="L341" i="2" s="1"/>
  <c r="I341" i="2"/>
  <c r="E341" i="2"/>
  <c r="D341" i="2"/>
  <c r="J340" i="2"/>
  <c r="L340" i="2" s="1"/>
  <c r="I340" i="2"/>
  <c r="E340" i="2"/>
  <c r="D340" i="2"/>
  <c r="J339" i="2"/>
  <c r="L339" i="2" s="1"/>
  <c r="I339" i="2"/>
  <c r="E339" i="2"/>
  <c r="D339" i="2"/>
  <c r="J338" i="2"/>
  <c r="L338" i="2" s="1"/>
  <c r="I338" i="2"/>
  <c r="E338" i="2"/>
  <c r="D338" i="2"/>
  <c r="J337" i="2"/>
  <c r="L337" i="2" s="1"/>
  <c r="I337" i="2"/>
  <c r="E337" i="2"/>
  <c r="D337" i="2"/>
  <c r="J336" i="2"/>
  <c r="L336" i="2" s="1"/>
  <c r="I336" i="2"/>
  <c r="E336" i="2"/>
  <c r="D336" i="2"/>
  <c r="J335" i="2"/>
  <c r="L335" i="2" s="1"/>
  <c r="I335" i="2"/>
  <c r="E335" i="2"/>
  <c r="D335" i="2"/>
  <c r="J334" i="2"/>
  <c r="L334" i="2" s="1"/>
  <c r="I334" i="2"/>
  <c r="E334" i="2"/>
  <c r="D334" i="2"/>
  <c r="J333" i="2"/>
  <c r="L333" i="2" s="1"/>
  <c r="I333" i="2"/>
  <c r="E333" i="2"/>
  <c r="D333" i="2"/>
  <c r="J332" i="2"/>
  <c r="L332" i="2" s="1"/>
  <c r="I332" i="2"/>
  <c r="E332" i="2"/>
  <c r="D332" i="2"/>
  <c r="J331" i="2"/>
  <c r="L331" i="2" s="1"/>
  <c r="I331" i="2"/>
  <c r="E331" i="2"/>
  <c r="D331" i="2"/>
  <c r="J330" i="2"/>
  <c r="L330" i="2" s="1"/>
  <c r="I330" i="2"/>
  <c r="E330" i="2"/>
  <c r="D330" i="2"/>
  <c r="J329" i="2"/>
  <c r="L329" i="2" s="1"/>
  <c r="I329" i="2"/>
  <c r="E329" i="2"/>
  <c r="D329" i="2"/>
  <c r="J328" i="2"/>
  <c r="L328" i="2" s="1"/>
  <c r="I328" i="2"/>
  <c r="E328" i="2"/>
  <c r="D328" i="2"/>
  <c r="J327" i="2"/>
  <c r="L327" i="2" s="1"/>
  <c r="I327" i="2"/>
  <c r="E327" i="2"/>
  <c r="D327" i="2"/>
  <c r="J326" i="2"/>
  <c r="L326" i="2" s="1"/>
  <c r="I326" i="2"/>
  <c r="E326" i="2"/>
  <c r="D326" i="2"/>
  <c r="J325" i="2"/>
  <c r="L325" i="2" s="1"/>
  <c r="I325" i="2"/>
  <c r="E325" i="2"/>
  <c r="D325" i="2"/>
  <c r="J324" i="2"/>
  <c r="L324" i="2" s="1"/>
  <c r="I324" i="2"/>
  <c r="E324" i="2"/>
  <c r="D324" i="2"/>
  <c r="J323" i="2"/>
  <c r="L323" i="2" s="1"/>
  <c r="I323" i="2"/>
  <c r="E323" i="2"/>
  <c r="D323" i="2"/>
  <c r="J322" i="2"/>
  <c r="L322" i="2" s="1"/>
  <c r="I322" i="2"/>
  <c r="E322" i="2"/>
  <c r="D322" i="2"/>
  <c r="J321" i="2"/>
  <c r="L321" i="2" s="1"/>
  <c r="I321" i="2"/>
  <c r="E321" i="2"/>
  <c r="D321" i="2"/>
  <c r="J320" i="2"/>
  <c r="L320" i="2" s="1"/>
  <c r="I320" i="2"/>
  <c r="E320" i="2"/>
  <c r="D320" i="2"/>
  <c r="J319" i="2"/>
  <c r="L319" i="2" s="1"/>
  <c r="I319" i="2"/>
  <c r="E319" i="2"/>
  <c r="D319" i="2"/>
  <c r="J318" i="2"/>
  <c r="L318" i="2" s="1"/>
  <c r="I318" i="2"/>
  <c r="E318" i="2"/>
  <c r="D318" i="2"/>
  <c r="J317" i="2"/>
  <c r="L317" i="2" s="1"/>
  <c r="I317" i="2"/>
  <c r="E317" i="2"/>
  <c r="D317" i="2"/>
  <c r="J316" i="2"/>
  <c r="L316" i="2" s="1"/>
  <c r="I316" i="2"/>
  <c r="E316" i="2"/>
  <c r="D316" i="2"/>
  <c r="J315" i="2"/>
  <c r="L315" i="2" s="1"/>
  <c r="I315" i="2"/>
  <c r="E315" i="2"/>
  <c r="D315" i="2"/>
  <c r="J314" i="2"/>
  <c r="L314" i="2" s="1"/>
  <c r="I314" i="2"/>
  <c r="E314" i="2"/>
  <c r="D314" i="2"/>
  <c r="J313" i="2"/>
  <c r="L313" i="2" s="1"/>
  <c r="I313" i="2"/>
  <c r="E313" i="2"/>
  <c r="D313" i="2"/>
  <c r="J312" i="2"/>
  <c r="L312" i="2" s="1"/>
  <c r="I312" i="2"/>
  <c r="E312" i="2"/>
  <c r="D312" i="2"/>
  <c r="J311" i="2"/>
  <c r="L311" i="2" s="1"/>
  <c r="I311" i="2"/>
  <c r="E311" i="2"/>
  <c r="D311" i="2"/>
  <c r="J310" i="2"/>
  <c r="L310" i="2" s="1"/>
  <c r="I310" i="2"/>
  <c r="E310" i="2"/>
  <c r="D310" i="2"/>
  <c r="J309" i="2"/>
  <c r="L309" i="2" s="1"/>
  <c r="I309" i="2"/>
  <c r="E309" i="2"/>
  <c r="D309" i="2"/>
  <c r="J308" i="2"/>
  <c r="L308" i="2" s="1"/>
  <c r="I308" i="2"/>
  <c r="E308" i="2"/>
  <c r="D308" i="2"/>
  <c r="J307" i="2"/>
  <c r="L307" i="2" s="1"/>
  <c r="I307" i="2"/>
  <c r="E307" i="2"/>
  <c r="D307" i="2"/>
  <c r="J306" i="2"/>
  <c r="L306" i="2" s="1"/>
  <c r="I306" i="2"/>
  <c r="E306" i="2"/>
  <c r="D306" i="2"/>
  <c r="J305" i="2"/>
  <c r="L305" i="2" s="1"/>
  <c r="I305" i="2"/>
  <c r="E305" i="2"/>
  <c r="D305" i="2"/>
  <c r="J304" i="2"/>
  <c r="L304" i="2" s="1"/>
  <c r="I304" i="2"/>
  <c r="E304" i="2"/>
  <c r="D304" i="2"/>
  <c r="J303" i="2"/>
  <c r="L303" i="2" s="1"/>
  <c r="I303" i="2"/>
  <c r="E303" i="2"/>
  <c r="D303" i="2"/>
  <c r="J302" i="2"/>
  <c r="L302" i="2" s="1"/>
  <c r="I302" i="2"/>
  <c r="E302" i="2"/>
  <c r="D302" i="2"/>
  <c r="J301" i="2"/>
  <c r="L301" i="2" s="1"/>
  <c r="I301" i="2"/>
  <c r="E301" i="2"/>
  <c r="D301" i="2"/>
  <c r="J300" i="2"/>
  <c r="L300" i="2" s="1"/>
  <c r="I300" i="2"/>
  <c r="E300" i="2"/>
  <c r="D300" i="2"/>
  <c r="J299" i="2"/>
  <c r="L299" i="2" s="1"/>
  <c r="I299" i="2"/>
  <c r="E299" i="2"/>
  <c r="D299" i="2"/>
  <c r="J298" i="2"/>
  <c r="L298" i="2" s="1"/>
  <c r="I298" i="2"/>
  <c r="E298" i="2"/>
  <c r="D298" i="2"/>
  <c r="J297" i="2"/>
  <c r="L297" i="2" s="1"/>
  <c r="I297" i="2"/>
  <c r="E297" i="2"/>
  <c r="D297" i="2"/>
  <c r="J296" i="2"/>
  <c r="L296" i="2" s="1"/>
  <c r="I296" i="2"/>
  <c r="E296" i="2"/>
  <c r="D296" i="2"/>
  <c r="J295" i="2"/>
  <c r="L295" i="2" s="1"/>
  <c r="I295" i="2"/>
  <c r="E295" i="2"/>
  <c r="D295" i="2"/>
  <c r="J294" i="2"/>
  <c r="L294" i="2" s="1"/>
  <c r="I294" i="2"/>
  <c r="E294" i="2"/>
  <c r="D294" i="2"/>
  <c r="J293" i="2"/>
  <c r="L293" i="2" s="1"/>
  <c r="I293" i="2"/>
  <c r="E293" i="2"/>
  <c r="D293" i="2"/>
  <c r="J292" i="2"/>
  <c r="L292" i="2" s="1"/>
  <c r="I292" i="2"/>
  <c r="E292" i="2"/>
  <c r="D292" i="2"/>
  <c r="J291" i="2"/>
  <c r="L291" i="2" s="1"/>
  <c r="I291" i="2"/>
  <c r="E291" i="2"/>
  <c r="D291" i="2"/>
  <c r="J290" i="2"/>
  <c r="L290" i="2" s="1"/>
  <c r="I290" i="2"/>
  <c r="E290" i="2"/>
  <c r="D290" i="2"/>
  <c r="J289" i="2"/>
  <c r="L289" i="2" s="1"/>
  <c r="I289" i="2"/>
  <c r="E289" i="2"/>
  <c r="D289" i="2"/>
  <c r="J288" i="2"/>
  <c r="L288" i="2" s="1"/>
  <c r="I288" i="2"/>
  <c r="E288" i="2"/>
  <c r="D288" i="2"/>
  <c r="J287" i="2"/>
  <c r="L287" i="2" s="1"/>
  <c r="I287" i="2"/>
  <c r="E287" i="2"/>
  <c r="D287" i="2"/>
  <c r="J286" i="2"/>
  <c r="L286" i="2" s="1"/>
  <c r="I286" i="2"/>
  <c r="E286" i="2"/>
  <c r="D286" i="2"/>
  <c r="J285" i="2"/>
  <c r="L285" i="2" s="1"/>
  <c r="I285" i="2"/>
  <c r="E285" i="2"/>
  <c r="D285" i="2"/>
  <c r="J284" i="2"/>
  <c r="L284" i="2" s="1"/>
  <c r="I284" i="2"/>
  <c r="E284" i="2"/>
  <c r="D284" i="2"/>
  <c r="J283" i="2"/>
  <c r="L283" i="2" s="1"/>
  <c r="I283" i="2"/>
  <c r="E283" i="2"/>
  <c r="D283" i="2"/>
  <c r="J282" i="2"/>
  <c r="L282" i="2" s="1"/>
  <c r="I282" i="2"/>
  <c r="E282" i="2"/>
  <c r="D282" i="2"/>
  <c r="J281" i="2"/>
  <c r="L281" i="2" s="1"/>
  <c r="I281" i="2"/>
  <c r="E281" i="2"/>
  <c r="D281" i="2"/>
  <c r="J280" i="2"/>
  <c r="L280" i="2" s="1"/>
  <c r="I280" i="2"/>
  <c r="E280" i="2"/>
  <c r="D280" i="2"/>
  <c r="J279" i="2"/>
  <c r="L279" i="2" s="1"/>
  <c r="I279" i="2"/>
  <c r="E279" i="2"/>
  <c r="D279" i="2"/>
  <c r="J278" i="2"/>
  <c r="L278" i="2" s="1"/>
  <c r="I278" i="2"/>
  <c r="E278" i="2"/>
  <c r="D278" i="2"/>
  <c r="J277" i="2"/>
  <c r="L277" i="2" s="1"/>
  <c r="I277" i="2"/>
  <c r="E277" i="2"/>
  <c r="D277" i="2"/>
  <c r="J276" i="2"/>
  <c r="L276" i="2" s="1"/>
  <c r="I276" i="2"/>
  <c r="E276" i="2"/>
  <c r="D276" i="2"/>
  <c r="J275" i="2"/>
  <c r="L275" i="2" s="1"/>
  <c r="I275" i="2"/>
  <c r="E275" i="2"/>
  <c r="D275" i="2"/>
  <c r="J274" i="2"/>
  <c r="L274" i="2" s="1"/>
  <c r="I274" i="2"/>
  <c r="E274" i="2"/>
  <c r="D274" i="2"/>
  <c r="J273" i="2"/>
  <c r="L273" i="2" s="1"/>
  <c r="I273" i="2"/>
  <c r="E273" i="2"/>
  <c r="D273" i="2"/>
  <c r="J272" i="2"/>
  <c r="L272" i="2" s="1"/>
  <c r="I272" i="2"/>
  <c r="E272" i="2"/>
  <c r="D272" i="2"/>
  <c r="J271" i="2"/>
  <c r="L271" i="2" s="1"/>
  <c r="I271" i="2"/>
  <c r="E271" i="2"/>
  <c r="D271" i="2"/>
  <c r="J270" i="2"/>
  <c r="L270" i="2" s="1"/>
  <c r="I270" i="2"/>
  <c r="E270" i="2"/>
  <c r="D270" i="2"/>
  <c r="J269" i="2"/>
  <c r="L269" i="2" s="1"/>
  <c r="I269" i="2"/>
  <c r="E269" i="2"/>
  <c r="D269" i="2"/>
  <c r="J268" i="2"/>
  <c r="L268" i="2" s="1"/>
  <c r="I268" i="2"/>
  <c r="E268" i="2"/>
  <c r="D268" i="2"/>
  <c r="J267" i="2"/>
  <c r="L267" i="2" s="1"/>
  <c r="I267" i="2"/>
  <c r="E267" i="2"/>
  <c r="D267" i="2"/>
  <c r="J266" i="2"/>
  <c r="L266" i="2" s="1"/>
  <c r="I266" i="2"/>
  <c r="E266" i="2"/>
  <c r="D266" i="2"/>
  <c r="J265" i="2"/>
  <c r="L265" i="2" s="1"/>
  <c r="I265" i="2"/>
  <c r="E265" i="2"/>
  <c r="D265" i="2"/>
  <c r="J264" i="2"/>
  <c r="L264" i="2" s="1"/>
  <c r="I264" i="2"/>
  <c r="E264" i="2"/>
  <c r="D264" i="2"/>
  <c r="J263" i="2"/>
  <c r="L263" i="2" s="1"/>
  <c r="I263" i="2"/>
  <c r="E263" i="2"/>
  <c r="D263" i="2"/>
  <c r="L262" i="2"/>
  <c r="J262" i="2"/>
  <c r="I262" i="2"/>
  <c r="E262" i="2"/>
  <c r="D262" i="2"/>
  <c r="J261" i="2"/>
  <c r="L261" i="2" s="1"/>
  <c r="I261" i="2"/>
  <c r="E261" i="2"/>
  <c r="D261" i="2"/>
  <c r="J260" i="2"/>
  <c r="L260" i="2" s="1"/>
  <c r="I260" i="2"/>
  <c r="E260" i="2"/>
  <c r="D260" i="2"/>
  <c r="J259" i="2"/>
  <c r="L259" i="2" s="1"/>
  <c r="I259" i="2"/>
  <c r="E259" i="2"/>
  <c r="D259" i="2"/>
  <c r="J258" i="2"/>
  <c r="L258" i="2" s="1"/>
  <c r="I258" i="2"/>
  <c r="E258" i="2"/>
  <c r="D258" i="2"/>
  <c r="J257" i="2"/>
  <c r="L257" i="2" s="1"/>
  <c r="I257" i="2"/>
  <c r="E257" i="2"/>
  <c r="D257" i="2"/>
  <c r="J256" i="2"/>
  <c r="L256" i="2" s="1"/>
  <c r="I256" i="2"/>
  <c r="E256" i="2"/>
  <c r="D256" i="2"/>
  <c r="J255" i="2"/>
  <c r="L255" i="2" s="1"/>
  <c r="I255" i="2"/>
  <c r="E255" i="2"/>
  <c r="D255" i="2"/>
  <c r="J254" i="2"/>
  <c r="L254" i="2" s="1"/>
  <c r="I254" i="2"/>
  <c r="E254" i="2"/>
  <c r="D254" i="2"/>
  <c r="J253" i="2"/>
  <c r="L253" i="2" s="1"/>
  <c r="I253" i="2"/>
  <c r="E253" i="2"/>
  <c r="D253" i="2"/>
  <c r="J252" i="2"/>
  <c r="L252" i="2" s="1"/>
  <c r="I252" i="2"/>
  <c r="E252" i="2"/>
  <c r="D252" i="2"/>
  <c r="J251" i="2"/>
  <c r="L251" i="2" s="1"/>
  <c r="I251" i="2"/>
  <c r="E251" i="2"/>
  <c r="D251" i="2"/>
  <c r="J250" i="2"/>
  <c r="L250" i="2" s="1"/>
  <c r="I250" i="2"/>
  <c r="E250" i="2"/>
  <c r="D250" i="2"/>
  <c r="J249" i="2"/>
  <c r="L249" i="2" s="1"/>
  <c r="I249" i="2"/>
  <c r="E249" i="2"/>
  <c r="D249" i="2"/>
  <c r="J248" i="2"/>
  <c r="L248" i="2" s="1"/>
  <c r="I248" i="2"/>
  <c r="E248" i="2"/>
  <c r="D248" i="2"/>
  <c r="J247" i="2"/>
  <c r="L247" i="2" s="1"/>
  <c r="I247" i="2"/>
  <c r="E247" i="2"/>
  <c r="D247" i="2"/>
  <c r="J246" i="2"/>
  <c r="L246" i="2" s="1"/>
  <c r="I246" i="2"/>
  <c r="E246" i="2"/>
  <c r="D246" i="2"/>
  <c r="J245" i="2"/>
  <c r="L245" i="2" s="1"/>
  <c r="I245" i="2"/>
  <c r="E245" i="2"/>
  <c r="D245" i="2"/>
  <c r="J244" i="2"/>
  <c r="L244" i="2" s="1"/>
  <c r="I244" i="2"/>
  <c r="E244" i="2"/>
  <c r="D244" i="2"/>
  <c r="J243" i="2"/>
  <c r="L243" i="2" s="1"/>
  <c r="I243" i="2"/>
  <c r="E243" i="2"/>
  <c r="D243" i="2"/>
  <c r="L242" i="2"/>
  <c r="J242" i="2"/>
  <c r="I242" i="2"/>
  <c r="E242" i="2"/>
  <c r="D242" i="2"/>
  <c r="J241" i="2"/>
  <c r="L241" i="2" s="1"/>
  <c r="I241" i="2"/>
  <c r="E241" i="2"/>
  <c r="D241" i="2"/>
  <c r="J240" i="2"/>
  <c r="L240" i="2" s="1"/>
  <c r="I240" i="2"/>
  <c r="E240" i="2"/>
  <c r="D240" i="2"/>
  <c r="J239" i="2"/>
  <c r="L239" i="2" s="1"/>
  <c r="I239" i="2"/>
  <c r="E239" i="2"/>
  <c r="D239" i="2"/>
  <c r="J238" i="2"/>
  <c r="L238" i="2" s="1"/>
  <c r="I238" i="2"/>
  <c r="E238" i="2"/>
  <c r="D238" i="2"/>
  <c r="J237" i="2"/>
  <c r="L237" i="2" s="1"/>
  <c r="I237" i="2"/>
  <c r="E237" i="2"/>
  <c r="D237" i="2"/>
  <c r="J236" i="2"/>
  <c r="L236" i="2" s="1"/>
  <c r="I236" i="2"/>
  <c r="E236" i="2"/>
  <c r="D236" i="2"/>
  <c r="J235" i="2"/>
  <c r="L235" i="2" s="1"/>
  <c r="I235" i="2"/>
  <c r="E235" i="2"/>
  <c r="D235" i="2"/>
  <c r="J234" i="2"/>
  <c r="L234" i="2" s="1"/>
  <c r="I234" i="2"/>
  <c r="E234" i="2"/>
  <c r="D234" i="2"/>
  <c r="J233" i="2"/>
  <c r="L233" i="2" s="1"/>
  <c r="I233" i="2"/>
  <c r="E233" i="2"/>
  <c r="D233" i="2"/>
  <c r="J232" i="2"/>
  <c r="L232" i="2" s="1"/>
  <c r="I232" i="2"/>
  <c r="E232" i="2"/>
  <c r="D232" i="2"/>
  <c r="J231" i="2"/>
  <c r="L231" i="2" s="1"/>
  <c r="I231" i="2"/>
  <c r="E231" i="2"/>
  <c r="D231" i="2"/>
  <c r="J230" i="2"/>
  <c r="L230" i="2" s="1"/>
  <c r="I230" i="2"/>
  <c r="E230" i="2"/>
  <c r="D230" i="2"/>
  <c r="J229" i="2"/>
  <c r="L229" i="2" s="1"/>
  <c r="I229" i="2"/>
  <c r="E229" i="2"/>
  <c r="D229" i="2"/>
  <c r="J228" i="2"/>
  <c r="L228" i="2" s="1"/>
  <c r="I228" i="2"/>
  <c r="E228" i="2"/>
  <c r="D228" i="2"/>
  <c r="J227" i="2"/>
  <c r="L227" i="2" s="1"/>
  <c r="I227" i="2"/>
  <c r="E227" i="2"/>
  <c r="D227" i="2"/>
  <c r="J226" i="2"/>
  <c r="L226" i="2" s="1"/>
  <c r="I226" i="2"/>
  <c r="E226" i="2"/>
  <c r="D226" i="2"/>
  <c r="J225" i="2"/>
  <c r="L225" i="2" s="1"/>
  <c r="I225" i="2"/>
  <c r="E225" i="2"/>
  <c r="D225" i="2"/>
  <c r="J224" i="2"/>
  <c r="L224" i="2" s="1"/>
  <c r="I224" i="2"/>
  <c r="E224" i="2"/>
  <c r="D224" i="2"/>
  <c r="J223" i="2"/>
  <c r="L223" i="2" s="1"/>
  <c r="I223" i="2"/>
  <c r="E223" i="2"/>
  <c r="D223" i="2"/>
  <c r="J222" i="2"/>
  <c r="L222" i="2" s="1"/>
  <c r="I222" i="2"/>
  <c r="E222" i="2"/>
  <c r="D222" i="2"/>
  <c r="J221" i="2"/>
  <c r="L221" i="2" s="1"/>
  <c r="I221" i="2"/>
  <c r="E221" i="2"/>
  <c r="D221" i="2"/>
  <c r="J220" i="2"/>
  <c r="L220" i="2" s="1"/>
  <c r="I220" i="2"/>
  <c r="E220" i="2"/>
  <c r="D220" i="2"/>
  <c r="J219" i="2"/>
  <c r="L219" i="2" s="1"/>
  <c r="I219" i="2"/>
  <c r="E219" i="2"/>
  <c r="D219" i="2"/>
  <c r="J218" i="2"/>
  <c r="L218" i="2" s="1"/>
  <c r="I218" i="2"/>
  <c r="E218" i="2"/>
  <c r="D218" i="2"/>
  <c r="J217" i="2"/>
  <c r="L217" i="2" s="1"/>
  <c r="I217" i="2"/>
  <c r="E217" i="2"/>
  <c r="D217" i="2"/>
  <c r="J216" i="2"/>
  <c r="L216" i="2" s="1"/>
  <c r="I216" i="2"/>
  <c r="E216" i="2"/>
  <c r="D216" i="2"/>
  <c r="J215" i="2"/>
  <c r="L215" i="2" s="1"/>
  <c r="I215" i="2"/>
  <c r="E215" i="2"/>
  <c r="D215" i="2"/>
  <c r="J214" i="2"/>
  <c r="L214" i="2" s="1"/>
  <c r="I214" i="2"/>
  <c r="E214" i="2"/>
  <c r="D214" i="2"/>
  <c r="J213" i="2"/>
  <c r="L213" i="2" s="1"/>
  <c r="I213" i="2"/>
  <c r="E213" i="2"/>
  <c r="D213" i="2"/>
  <c r="J212" i="2"/>
  <c r="L212" i="2" s="1"/>
  <c r="I212" i="2"/>
  <c r="E212" i="2"/>
  <c r="D212" i="2"/>
  <c r="J211" i="2"/>
  <c r="L211" i="2" s="1"/>
  <c r="I211" i="2"/>
  <c r="E211" i="2"/>
  <c r="D211" i="2"/>
  <c r="J210" i="2"/>
  <c r="L210" i="2" s="1"/>
  <c r="I210" i="2"/>
  <c r="E210" i="2"/>
  <c r="D210" i="2"/>
  <c r="J209" i="2"/>
  <c r="L209" i="2" s="1"/>
  <c r="I209" i="2"/>
  <c r="E209" i="2"/>
  <c r="D209" i="2"/>
  <c r="J208" i="2"/>
  <c r="L208" i="2" s="1"/>
  <c r="I208" i="2"/>
  <c r="E208" i="2"/>
  <c r="D208" i="2"/>
  <c r="J207" i="2"/>
  <c r="L207" i="2" s="1"/>
  <c r="I207" i="2"/>
  <c r="E207" i="2"/>
  <c r="D207" i="2"/>
  <c r="J206" i="2"/>
  <c r="L206" i="2" s="1"/>
  <c r="I206" i="2"/>
  <c r="E206" i="2"/>
  <c r="D206" i="2"/>
  <c r="J205" i="2"/>
  <c r="L205" i="2" s="1"/>
  <c r="I205" i="2"/>
  <c r="E205" i="2"/>
  <c r="D205" i="2"/>
  <c r="J204" i="2"/>
  <c r="L204" i="2" s="1"/>
  <c r="I204" i="2"/>
  <c r="E204" i="2"/>
  <c r="D204" i="2"/>
  <c r="J203" i="2"/>
  <c r="L203" i="2" s="1"/>
  <c r="I203" i="2"/>
  <c r="E203" i="2"/>
  <c r="D203" i="2"/>
  <c r="J202" i="2"/>
  <c r="L202" i="2" s="1"/>
  <c r="I202" i="2"/>
  <c r="E202" i="2"/>
  <c r="D202" i="2"/>
  <c r="J201" i="2"/>
  <c r="L201" i="2" s="1"/>
  <c r="I201" i="2"/>
  <c r="E201" i="2"/>
  <c r="D201" i="2"/>
  <c r="J200" i="2"/>
  <c r="L200" i="2" s="1"/>
  <c r="I200" i="2"/>
  <c r="E200" i="2"/>
  <c r="D200" i="2"/>
  <c r="J199" i="2"/>
  <c r="L199" i="2" s="1"/>
  <c r="I199" i="2"/>
  <c r="E199" i="2"/>
  <c r="D199" i="2"/>
  <c r="J198" i="2"/>
  <c r="L198" i="2" s="1"/>
  <c r="I198" i="2"/>
  <c r="E198" i="2"/>
  <c r="D198" i="2"/>
  <c r="J197" i="2"/>
  <c r="L197" i="2" s="1"/>
  <c r="I197" i="2"/>
  <c r="E197" i="2"/>
  <c r="D197" i="2"/>
  <c r="J196" i="2"/>
  <c r="L196" i="2" s="1"/>
  <c r="I196" i="2"/>
  <c r="E196" i="2"/>
  <c r="D196" i="2"/>
  <c r="J195" i="2"/>
  <c r="L195" i="2" s="1"/>
  <c r="I195" i="2"/>
  <c r="E195" i="2"/>
  <c r="D195" i="2"/>
  <c r="J194" i="2"/>
  <c r="L194" i="2" s="1"/>
  <c r="I194" i="2"/>
  <c r="E194" i="2"/>
  <c r="D194" i="2"/>
  <c r="J193" i="2"/>
  <c r="L193" i="2" s="1"/>
  <c r="I193" i="2"/>
  <c r="E193" i="2"/>
  <c r="D193" i="2"/>
  <c r="J192" i="2"/>
  <c r="L192" i="2" s="1"/>
  <c r="I192" i="2"/>
  <c r="E192" i="2"/>
  <c r="D192" i="2"/>
  <c r="J191" i="2"/>
  <c r="L191" i="2" s="1"/>
  <c r="I191" i="2"/>
  <c r="E191" i="2"/>
  <c r="D191" i="2"/>
  <c r="J190" i="2"/>
  <c r="L190" i="2" s="1"/>
  <c r="I190" i="2"/>
  <c r="E190" i="2"/>
  <c r="D190" i="2"/>
  <c r="J189" i="2"/>
  <c r="L189" i="2" s="1"/>
  <c r="I189" i="2"/>
  <c r="E189" i="2"/>
  <c r="D189" i="2"/>
  <c r="J188" i="2"/>
  <c r="L188" i="2" s="1"/>
  <c r="I188" i="2"/>
  <c r="E188" i="2"/>
  <c r="D188" i="2"/>
  <c r="J187" i="2"/>
  <c r="L187" i="2" s="1"/>
  <c r="I187" i="2"/>
  <c r="E187" i="2"/>
  <c r="D187" i="2"/>
  <c r="J186" i="2"/>
  <c r="L186" i="2" s="1"/>
  <c r="I186" i="2"/>
  <c r="E186" i="2"/>
  <c r="D186" i="2"/>
  <c r="J185" i="2"/>
  <c r="L185" i="2" s="1"/>
  <c r="I185" i="2"/>
  <c r="E185" i="2"/>
  <c r="D185" i="2"/>
  <c r="J184" i="2"/>
  <c r="L184" i="2" s="1"/>
  <c r="I184" i="2"/>
  <c r="E184" i="2"/>
  <c r="D184" i="2"/>
  <c r="J183" i="2"/>
  <c r="L183" i="2" s="1"/>
  <c r="I183" i="2"/>
  <c r="E183" i="2"/>
  <c r="D183" i="2"/>
  <c r="J182" i="2"/>
  <c r="L182" i="2" s="1"/>
  <c r="I182" i="2"/>
  <c r="E182" i="2"/>
  <c r="D182" i="2"/>
  <c r="J181" i="2"/>
  <c r="L181" i="2" s="1"/>
  <c r="I181" i="2"/>
  <c r="E181" i="2"/>
  <c r="D181" i="2"/>
  <c r="J180" i="2"/>
  <c r="L180" i="2" s="1"/>
  <c r="I180" i="2"/>
  <c r="E180" i="2"/>
  <c r="D180" i="2"/>
  <c r="J179" i="2"/>
  <c r="L179" i="2" s="1"/>
  <c r="I179" i="2"/>
  <c r="E179" i="2"/>
  <c r="D179" i="2"/>
  <c r="J178" i="2"/>
  <c r="L178" i="2" s="1"/>
  <c r="I178" i="2"/>
  <c r="E178" i="2"/>
  <c r="D178" i="2"/>
  <c r="J177" i="2"/>
  <c r="L177" i="2" s="1"/>
  <c r="I177" i="2"/>
  <c r="E177" i="2"/>
  <c r="D177" i="2"/>
  <c r="J176" i="2"/>
  <c r="L176" i="2" s="1"/>
  <c r="I176" i="2"/>
  <c r="E176" i="2"/>
  <c r="D176" i="2"/>
  <c r="J175" i="2"/>
  <c r="L175" i="2" s="1"/>
  <c r="I175" i="2"/>
  <c r="E175" i="2"/>
  <c r="D175" i="2"/>
  <c r="J174" i="2"/>
  <c r="L174" i="2" s="1"/>
  <c r="I174" i="2"/>
  <c r="E174" i="2"/>
  <c r="D174" i="2"/>
  <c r="J173" i="2"/>
  <c r="L173" i="2" s="1"/>
  <c r="I173" i="2"/>
  <c r="E173" i="2"/>
  <c r="D173" i="2"/>
  <c r="J172" i="2"/>
  <c r="L172" i="2" s="1"/>
  <c r="I172" i="2"/>
  <c r="E172" i="2"/>
  <c r="D172" i="2"/>
  <c r="J171" i="2"/>
  <c r="L171" i="2" s="1"/>
  <c r="I171" i="2"/>
  <c r="E171" i="2"/>
  <c r="D171" i="2"/>
  <c r="J170" i="2"/>
  <c r="L170" i="2" s="1"/>
  <c r="I170" i="2"/>
  <c r="E170" i="2"/>
  <c r="D170" i="2"/>
  <c r="J169" i="2"/>
  <c r="L169" i="2" s="1"/>
  <c r="I169" i="2"/>
  <c r="E169" i="2"/>
  <c r="D169" i="2"/>
  <c r="J168" i="2"/>
  <c r="L168" i="2" s="1"/>
  <c r="I168" i="2"/>
  <c r="E168" i="2"/>
  <c r="D168" i="2"/>
  <c r="J167" i="2"/>
  <c r="L167" i="2" s="1"/>
  <c r="I167" i="2"/>
  <c r="E167" i="2"/>
  <c r="D167" i="2"/>
  <c r="J166" i="2"/>
  <c r="L166" i="2" s="1"/>
  <c r="I166" i="2"/>
  <c r="E166" i="2"/>
  <c r="D166" i="2"/>
  <c r="J165" i="2"/>
  <c r="L165" i="2" s="1"/>
  <c r="I165" i="2"/>
  <c r="E165" i="2"/>
  <c r="D165" i="2"/>
  <c r="J164" i="2"/>
  <c r="L164" i="2" s="1"/>
  <c r="I164" i="2"/>
  <c r="E164" i="2"/>
  <c r="D164" i="2"/>
  <c r="J163" i="2"/>
  <c r="L163" i="2" s="1"/>
  <c r="I163" i="2"/>
  <c r="E163" i="2"/>
  <c r="D163" i="2"/>
  <c r="J162" i="2"/>
  <c r="L162" i="2" s="1"/>
  <c r="I162" i="2"/>
  <c r="E162" i="2"/>
  <c r="D162" i="2"/>
  <c r="J161" i="2"/>
  <c r="L161" i="2" s="1"/>
  <c r="I161" i="2"/>
  <c r="E161" i="2"/>
  <c r="D161" i="2"/>
  <c r="J160" i="2"/>
  <c r="L160" i="2" s="1"/>
  <c r="I160" i="2"/>
  <c r="E160" i="2"/>
  <c r="D160" i="2"/>
  <c r="J159" i="2"/>
  <c r="L159" i="2" s="1"/>
  <c r="I159" i="2"/>
  <c r="E159" i="2"/>
  <c r="D159" i="2"/>
  <c r="J158" i="2"/>
  <c r="L158" i="2" s="1"/>
  <c r="I158" i="2"/>
  <c r="E158" i="2"/>
  <c r="D158" i="2"/>
  <c r="J157" i="2"/>
  <c r="L157" i="2" s="1"/>
  <c r="I157" i="2"/>
  <c r="E157" i="2"/>
  <c r="D157" i="2"/>
  <c r="J156" i="2"/>
  <c r="L156" i="2" s="1"/>
  <c r="I156" i="2"/>
  <c r="E156" i="2"/>
  <c r="D156" i="2"/>
  <c r="J155" i="2"/>
  <c r="L155" i="2" s="1"/>
  <c r="I155" i="2"/>
  <c r="E155" i="2"/>
  <c r="D155" i="2"/>
  <c r="J154" i="2"/>
  <c r="L154" i="2" s="1"/>
  <c r="I154" i="2"/>
  <c r="E154" i="2"/>
  <c r="D154" i="2"/>
  <c r="J153" i="2"/>
  <c r="L153" i="2" s="1"/>
  <c r="I153" i="2"/>
  <c r="E153" i="2"/>
  <c r="D153" i="2"/>
  <c r="J152" i="2"/>
  <c r="L152" i="2" s="1"/>
  <c r="I152" i="2"/>
  <c r="E152" i="2"/>
  <c r="D152" i="2"/>
  <c r="J151" i="2"/>
  <c r="L151" i="2" s="1"/>
  <c r="I151" i="2"/>
  <c r="E151" i="2"/>
  <c r="D151" i="2"/>
  <c r="J150" i="2"/>
  <c r="L150" i="2" s="1"/>
  <c r="I150" i="2"/>
  <c r="E150" i="2"/>
  <c r="D150" i="2"/>
  <c r="J149" i="2"/>
  <c r="L149" i="2" s="1"/>
  <c r="I149" i="2"/>
  <c r="E149" i="2"/>
  <c r="D149" i="2"/>
  <c r="J148" i="2"/>
  <c r="L148" i="2" s="1"/>
  <c r="I148" i="2"/>
  <c r="E148" i="2"/>
  <c r="D148" i="2"/>
  <c r="J147" i="2"/>
  <c r="L147" i="2" s="1"/>
  <c r="I147" i="2"/>
  <c r="E147" i="2"/>
  <c r="D147" i="2"/>
  <c r="J146" i="2"/>
  <c r="L146" i="2" s="1"/>
  <c r="I146" i="2"/>
  <c r="E146" i="2"/>
  <c r="D146" i="2"/>
  <c r="J145" i="2"/>
  <c r="L145" i="2" s="1"/>
  <c r="I145" i="2"/>
  <c r="E145" i="2"/>
  <c r="D145" i="2"/>
  <c r="J144" i="2"/>
  <c r="L144" i="2" s="1"/>
  <c r="I144" i="2"/>
  <c r="E144" i="2"/>
  <c r="D144" i="2"/>
  <c r="J143" i="2"/>
  <c r="L143" i="2" s="1"/>
  <c r="I143" i="2"/>
  <c r="E143" i="2"/>
  <c r="D143" i="2"/>
  <c r="J142" i="2"/>
  <c r="L142" i="2" s="1"/>
  <c r="I142" i="2"/>
  <c r="E142" i="2"/>
  <c r="D142" i="2"/>
  <c r="J141" i="2"/>
  <c r="L141" i="2" s="1"/>
  <c r="I141" i="2"/>
  <c r="E141" i="2"/>
  <c r="D141" i="2"/>
  <c r="J140" i="2"/>
  <c r="L140" i="2" s="1"/>
  <c r="I140" i="2"/>
  <c r="E140" i="2"/>
  <c r="D140" i="2"/>
  <c r="J139" i="2"/>
  <c r="L139" i="2" s="1"/>
  <c r="I139" i="2"/>
  <c r="E139" i="2"/>
  <c r="D139" i="2"/>
  <c r="J138" i="2"/>
  <c r="L138" i="2" s="1"/>
  <c r="I138" i="2"/>
  <c r="E138" i="2"/>
  <c r="D138" i="2"/>
  <c r="J137" i="2"/>
  <c r="L137" i="2" s="1"/>
  <c r="I137" i="2"/>
  <c r="E137" i="2"/>
  <c r="D137" i="2"/>
  <c r="J136" i="2"/>
  <c r="L136" i="2" s="1"/>
  <c r="I136" i="2"/>
  <c r="E136" i="2"/>
  <c r="D136" i="2"/>
  <c r="J135" i="2"/>
  <c r="L135" i="2" s="1"/>
  <c r="I135" i="2"/>
  <c r="E135" i="2"/>
  <c r="D135" i="2"/>
  <c r="J134" i="2"/>
  <c r="L134" i="2" s="1"/>
  <c r="I134" i="2"/>
  <c r="E134" i="2"/>
  <c r="D134" i="2"/>
  <c r="J133" i="2"/>
  <c r="L133" i="2" s="1"/>
  <c r="I133" i="2"/>
  <c r="E133" i="2"/>
  <c r="D133" i="2"/>
  <c r="J132" i="2"/>
  <c r="L132" i="2" s="1"/>
  <c r="I132" i="2"/>
  <c r="E132" i="2"/>
  <c r="D132" i="2"/>
  <c r="J131" i="2"/>
  <c r="L131" i="2" s="1"/>
  <c r="I131" i="2"/>
  <c r="E131" i="2"/>
  <c r="D131" i="2"/>
  <c r="J130" i="2"/>
  <c r="L130" i="2" s="1"/>
  <c r="I130" i="2"/>
  <c r="E130" i="2"/>
  <c r="D130" i="2"/>
  <c r="J129" i="2"/>
  <c r="L129" i="2" s="1"/>
  <c r="I129" i="2"/>
  <c r="E129" i="2"/>
  <c r="D129" i="2"/>
  <c r="J128" i="2"/>
  <c r="L128" i="2" s="1"/>
  <c r="I128" i="2"/>
  <c r="E128" i="2"/>
  <c r="D128" i="2"/>
  <c r="J127" i="2"/>
  <c r="L127" i="2" s="1"/>
  <c r="I127" i="2"/>
  <c r="E127" i="2"/>
  <c r="D127" i="2"/>
  <c r="J126" i="2"/>
  <c r="L126" i="2" s="1"/>
  <c r="I126" i="2"/>
  <c r="E126" i="2"/>
  <c r="D126" i="2"/>
  <c r="J125" i="2"/>
  <c r="L125" i="2" s="1"/>
  <c r="I125" i="2"/>
  <c r="E125" i="2"/>
  <c r="D125" i="2"/>
  <c r="J124" i="2"/>
  <c r="L124" i="2" s="1"/>
  <c r="I124" i="2"/>
  <c r="E124" i="2"/>
  <c r="D124" i="2"/>
  <c r="J123" i="2"/>
  <c r="L123" i="2" s="1"/>
  <c r="I123" i="2"/>
  <c r="E123" i="2"/>
  <c r="D123" i="2"/>
  <c r="J122" i="2"/>
  <c r="L122" i="2" s="1"/>
  <c r="I122" i="2"/>
  <c r="E122" i="2"/>
  <c r="D122" i="2"/>
  <c r="J121" i="2"/>
  <c r="L121" i="2" s="1"/>
  <c r="I121" i="2"/>
  <c r="E121" i="2"/>
  <c r="D121" i="2"/>
  <c r="J120" i="2"/>
  <c r="L120" i="2" s="1"/>
  <c r="I120" i="2"/>
  <c r="E120" i="2"/>
  <c r="D120" i="2"/>
  <c r="J119" i="2"/>
  <c r="L119" i="2" s="1"/>
  <c r="I119" i="2"/>
  <c r="E119" i="2"/>
  <c r="D119" i="2"/>
  <c r="J118" i="2"/>
  <c r="L118" i="2" s="1"/>
  <c r="I118" i="2"/>
  <c r="E118" i="2"/>
  <c r="D118" i="2"/>
  <c r="J117" i="2"/>
  <c r="L117" i="2" s="1"/>
  <c r="I117" i="2"/>
  <c r="E117" i="2"/>
  <c r="D117" i="2"/>
  <c r="J116" i="2"/>
  <c r="L116" i="2" s="1"/>
  <c r="I116" i="2"/>
  <c r="E116" i="2"/>
  <c r="D116" i="2"/>
  <c r="J115" i="2"/>
  <c r="L115" i="2" s="1"/>
  <c r="I115" i="2"/>
  <c r="E115" i="2"/>
  <c r="D115" i="2"/>
  <c r="J114" i="2"/>
  <c r="L114" i="2" s="1"/>
  <c r="I114" i="2"/>
  <c r="E114" i="2"/>
  <c r="D114" i="2"/>
  <c r="J113" i="2"/>
  <c r="L113" i="2" s="1"/>
  <c r="I113" i="2"/>
  <c r="E113" i="2"/>
  <c r="D113" i="2"/>
  <c r="J112" i="2"/>
  <c r="L112" i="2" s="1"/>
  <c r="I112" i="2"/>
  <c r="E112" i="2"/>
  <c r="D112" i="2"/>
  <c r="J111" i="2"/>
  <c r="L111" i="2" s="1"/>
  <c r="I111" i="2"/>
  <c r="E111" i="2"/>
  <c r="D111" i="2"/>
  <c r="J110" i="2"/>
  <c r="L110" i="2" s="1"/>
  <c r="I110" i="2"/>
  <c r="E110" i="2"/>
  <c r="D110" i="2"/>
  <c r="J109" i="2"/>
  <c r="L109" i="2" s="1"/>
  <c r="I109" i="2"/>
  <c r="E109" i="2"/>
  <c r="D109" i="2"/>
  <c r="J108" i="2"/>
  <c r="L108" i="2" s="1"/>
  <c r="I108" i="2"/>
  <c r="E108" i="2"/>
  <c r="D108" i="2"/>
  <c r="J107" i="2"/>
  <c r="L107" i="2" s="1"/>
  <c r="I107" i="2"/>
  <c r="E107" i="2"/>
  <c r="D107" i="2"/>
  <c r="J106" i="2"/>
  <c r="L106" i="2" s="1"/>
  <c r="I106" i="2"/>
  <c r="E106" i="2"/>
  <c r="D106" i="2"/>
  <c r="J105" i="2"/>
  <c r="L105" i="2" s="1"/>
  <c r="I105" i="2"/>
  <c r="E105" i="2"/>
  <c r="D105" i="2"/>
  <c r="J104" i="2"/>
  <c r="L104" i="2" s="1"/>
  <c r="I104" i="2"/>
  <c r="E104" i="2"/>
  <c r="D104" i="2"/>
  <c r="J103" i="2"/>
  <c r="L103" i="2" s="1"/>
  <c r="I103" i="2"/>
  <c r="E103" i="2"/>
  <c r="D103" i="2"/>
  <c r="J102" i="2"/>
  <c r="L102" i="2" s="1"/>
  <c r="I102" i="2"/>
  <c r="E102" i="2"/>
  <c r="D102" i="2"/>
  <c r="J101" i="2"/>
  <c r="L101" i="2" s="1"/>
  <c r="I101" i="2"/>
  <c r="E101" i="2"/>
  <c r="D101" i="2"/>
  <c r="J100" i="2"/>
  <c r="L100" i="2" s="1"/>
  <c r="I100" i="2"/>
  <c r="E100" i="2"/>
  <c r="D100" i="2"/>
  <c r="J99" i="2"/>
  <c r="L99" i="2" s="1"/>
  <c r="I99" i="2"/>
  <c r="E99" i="2"/>
  <c r="D99" i="2"/>
  <c r="J98" i="2"/>
  <c r="L98" i="2" s="1"/>
  <c r="I98" i="2"/>
  <c r="E98" i="2"/>
  <c r="D98" i="2"/>
  <c r="J97" i="2"/>
  <c r="L97" i="2" s="1"/>
  <c r="I97" i="2"/>
  <c r="E97" i="2"/>
  <c r="D97" i="2"/>
  <c r="J96" i="2"/>
  <c r="L96" i="2" s="1"/>
  <c r="I96" i="2"/>
  <c r="E96" i="2"/>
  <c r="D96" i="2"/>
  <c r="J95" i="2"/>
  <c r="L95" i="2" s="1"/>
  <c r="I95" i="2"/>
  <c r="E95" i="2"/>
  <c r="D95" i="2"/>
  <c r="J94" i="2"/>
  <c r="L94" i="2" s="1"/>
  <c r="I94" i="2"/>
  <c r="E94" i="2"/>
  <c r="D94" i="2"/>
  <c r="J93" i="2"/>
  <c r="L93" i="2" s="1"/>
  <c r="I93" i="2"/>
  <c r="E93" i="2"/>
  <c r="D93" i="2"/>
  <c r="J92" i="2"/>
  <c r="L92" i="2" s="1"/>
  <c r="I92" i="2"/>
  <c r="E92" i="2"/>
  <c r="D92" i="2"/>
  <c r="J91" i="2"/>
  <c r="L91" i="2" s="1"/>
  <c r="I91" i="2"/>
  <c r="E91" i="2"/>
  <c r="D91" i="2"/>
  <c r="J90" i="2"/>
  <c r="L90" i="2" s="1"/>
  <c r="I90" i="2"/>
  <c r="E90" i="2"/>
  <c r="D90" i="2"/>
  <c r="J89" i="2"/>
  <c r="L89" i="2" s="1"/>
  <c r="I89" i="2"/>
  <c r="E89" i="2"/>
  <c r="D89" i="2"/>
  <c r="J88" i="2"/>
  <c r="L88" i="2" s="1"/>
  <c r="I88" i="2"/>
  <c r="E88" i="2"/>
  <c r="D88" i="2"/>
  <c r="J87" i="2"/>
  <c r="L87" i="2" s="1"/>
  <c r="I87" i="2"/>
  <c r="E87" i="2"/>
  <c r="D87" i="2"/>
  <c r="J86" i="2"/>
  <c r="L86" i="2" s="1"/>
  <c r="I86" i="2"/>
  <c r="E86" i="2"/>
  <c r="D86" i="2"/>
  <c r="J85" i="2"/>
  <c r="L85" i="2" s="1"/>
  <c r="I85" i="2"/>
  <c r="E85" i="2"/>
  <c r="D85" i="2"/>
  <c r="J84" i="2"/>
  <c r="L84" i="2" s="1"/>
  <c r="I84" i="2"/>
  <c r="E84" i="2"/>
  <c r="D84" i="2"/>
  <c r="J83" i="2"/>
  <c r="L83" i="2" s="1"/>
  <c r="I83" i="2"/>
  <c r="E83" i="2"/>
  <c r="D83" i="2"/>
  <c r="J82" i="2"/>
  <c r="L82" i="2" s="1"/>
  <c r="I82" i="2"/>
  <c r="E82" i="2"/>
  <c r="D82" i="2"/>
  <c r="J81" i="2"/>
  <c r="L81" i="2" s="1"/>
  <c r="I81" i="2"/>
  <c r="E81" i="2"/>
  <c r="D81" i="2"/>
  <c r="J80" i="2"/>
  <c r="L80" i="2" s="1"/>
  <c r="I80" i="2"/>
  <c r="E80" i="2"/>
  <c r="D80" i="2"/>
  <c r="J79" i="2"/>
  <c r="L79" i="2" s="1"/>
  <c r="I79" i="2"/>
  <c r="E79" i="2"/>
  <c r="D79" i="2"/>
  <c r="J78" i="2"/>
  <c r="L78" i="2" s="1"/>
  <c r="I78" i="2"/>
  <c r="E78" i="2"/>
  <c r="D78" i="2"/>
  <c r="J77" i="2"/>
  <c r="L77" i="2" s="1"/>
  <c r="I77" i="2"/>
  <c r="E77" i="2"/>
  <c r="D77" i="2"/>
  <c r="J76" i="2"/>
  <c r="L76" i="2" s="1"/>
  <c r="I76" i="2"/>
  <c r="E76" i="2"/>
  <c r="D76" i="2"/>
  <c r="J75" i="2"/>
  <c r="L75" i="2" s="1"/>
  <c r="I75" i="2"/>
  <c r="E75" i="2"/>
  <c r="D75" i="2"/>
  <c r="J74" i="2"/>
  <c r="L74" i="2" s="1"/>
  <c r="I74" i="2"/>
  <c r="E74" i="2"/>
  <c r="D74" i="2"/>
  <c r="J73" i="2"/>
  <c r="L73" i="2" s="1"/>
  <c r="I73" i="2"/>
  <c r="E73" i="2"/>
  <c r="D73" i="2"/>
  <c r="J72" i="2"/>
  <c r="L72" i="2" s="1"/>
  <c r="I72" i="2"/>
  <c r="E72" i="2"/>
  <c r="D72" i="2"/>
  <c r="J71" i="2"/>
  <c r="L71" i="2" s="1"/>
  <c r="I71" i="2"/>
  <c r="E71" i="2"/>
  <c r="D71" i="2"/>
  <c r="J70" i="2"/>
  <c r="L70" i="2" s="1"/>
  <c r="I70" i="2"/>
  <c r="E70" i="2"/>
  <c r="D70" i="2"/>
  <c r="J69" i="2"/>
  <c r="L69" i="2" s="1"/>
  <c r="I69" i="2"/>
  <c r="E69" i="2"/>
  <c r="D69" i="2"/>
  <c r="J68" i="2"/>
  <c r="L68" i="2" s="1"/>
  <c r="I68" i="2"/>
  <c r="E68" i="2"/>
  <c r="D68" i="2"/>
  <c r="J67" i="2"/>
  <c r="L67" i="2" s="1"/>
  <c r="I67" i="2"/>
  <c r="E67" i="2"/>
  <c r="D67" i="2"/>
  <c r="J66" i="2"/>
  <c r="L66" i="2" s="1"/>
  <c r="I66" i="2"/>
  <c r="E66" i="2"/>
  <c r="D66" i="2"/>
  <c r="J65" i="2"/>
  <c r="L65" i="2" s="1"/>
  <c r="I65" i="2"/>
  <c r="E65" i="2"/>
  <c r="D65" i="2"/>
  <c r="J64" i="2"/>
  <c r="L64" i="2" s="1"/>
  <c r="I64" i="2"/>
  <c r="E64" i="2"/>
  <c r="D64" i="2"/>
  <c r="J63" i="2"/>
  <c r="L63" i="2" s="1"/>
  <c r="I63" i="2"/>
  <c r="E63" i="2"/>
  <c r="D63" i="2"/>
  <c r="J62" i="2"/>
  <c r="L62" i="2" s="1"/>
  <c r="I62" i="2"/>
  <c r="E62" i="2"/>
  <c r="D62" i="2"/>
  <c r="J61" i="2"/>
  <c r="L61" i="2" s="1"/>
  <c r="I61" i="2"/>
  <c r="E61" i="2"/>
  <c r="D61" i="2"/>
  <c r="J60" i="2"/>
  <c r="L60" i="2" s="1"/>
  <c r="I60" i="2"/>
  <c r="E60" i="2"/>
  <c r="D60" i="2"/>
  <c r="J59" i="2"/>
  <c r="L59" i="2" s="1"/>
  <c r="I59" i="2"/>
  <c r="E59" i="2"/>
  <c r="D59" i="2"/>
  <c r="J58" i="2"/>
  <c r="L58" i="2" s="1"/>
  <c r="I58" i="2"/>
  <c r="E58" i="2"/>
  <c r="D58" i="2"/>
  <c r="J57" i="2"/>
  <c r="L57" i="2" s="1"/>
  <c r="I57" i="2"/>
  <c r="E57" i="2"/>
  <c r="D57" i="2"/>
  <c r="J56" i="2"/>
  <c r="L56" i="2" s="1"/>
  <c r="I56" i="2"/>
  <c r="E56" i="2"/>
  <c r="D56" i="2"/>
  <c r="J55" i="2"/>
  <c r="L55" i="2" s="1"/>
  <c r="I55" i="2"/>
  <c r="E55" i="2"/>
  <c r="D55" i="2"/>
  <c r="J54" i="2"/>
  <c r="L54" i="2" s="1"/>
  <c r="I54" i="2"/>
  <c r="E54" i="2"/>
  <c r="D54" i="2"/>
  <c r="J53" i="2"/>
  <c r="L53" i="2" s="1"/>
  <c r="I53" i="2"/>
  <c r="E53" i="2"/>
  <c r="D53" i="2"/>
  <c r="J52" i="2"/>
  <c r="L52" i="2" s="1"/>
  <c r="I52" i="2"/>
  <c r="E52" i="2"/>
  <c r="D52" i="2"/>
  <c r="J51" i="2"/>
  <c r="L51" i="2" s="1"/>
  <c r="I51" i="2"/>
  <c r="E51" i="2"/>
  <c r="D51" i="2"/>
  <c r="J50" i="2"/>
  <c r="L50" i="2" s="1"/>
  <c r="I50" i="2"/>
  <c r="E50" i="2"/>
  <c r="D50" i="2"/>
  <c r="J49" i="2"/>
  <c r="L49" i="2" s="1"/>
  <c r="I49" i="2"/>
  <c r="E49" i="2"/>
  <c r="D49" i="2"/>
  <c r="J48" i="2"/>
  <c r="L48" i="2" s="1"/>
  <c r="I48" i="2"/>
  <c r="E48" i="2"/>
  <c r="D48" i="2"/>
  <c r="J47" i="2"/>
  <c r="L47" i="2" s="1"/>
  <c r="I47" i="2"/>
  <c r="E47" i="2"/>
  <c r="D47" i="2"/>
  <c r="J46" i="2"/>
  <c r="L46" i="2" s="1"/>
  <c r="I46" i="2"/>
  <c r="E46" i="2"/>
  <c r="D46" i="2"/>
  <c r="J45" i="2"/>
  <c r="L45" i="2" s="1"/>
  <c r="I45" i="2"/>
  <c r="E45" i="2"/>
  <c r="D45" i="2"/>
  <c r="J44" i="2"/>
  <c r="L44" i="2" s="1"/>
  <c r="I44" i="2"/>
  <c r="E44" i="2"/>
  <c r="D44" i="2"/>
  <c r="J43" i="2"/>
  <c r="L43" i="2" s="1"/>
  <c r="I43" i="2"/>
  <c r="E43" i="2"/>
  <c r="D43" i="2"/>
  <c r="J42" i="2"/>
  <c r="L42" i="2" s="1"/>
  <c r="I42" i="2"/>
  <c r="E42" i="2"/>
  <c r="D42" i="2"/>
  <c r="J41" i="2"/>
  <c r="L41" i="2" s="1"/>
  <c r="I41" i="2"/>
  <c r="E41" i="2"/>
  <c r="D41" i="2"/>
  <c r="J40" i="2"/>
  <c r="L40" i="2" s="1"/>
  <c r="I40" i="2"/>
  <c r="E40" i="2"/>
  <c r="D40" i="2"/>
  <c r="J39" i="2"/>
  <c r="L39" i="2" s="1"/>
  <c r="I39" i="2"/>
  <c r="E39" i="2"/>
  <c r="D39" i="2"/>
  <c r="J38" i="2"/>
  <c r="L38" i="2" s="1"/>
  <c r="I38" i="2"/>
  <c r="E38" i="2"/>
  <c r="D38" i="2"/>
  <c r="J37" i="2"/>
  <c r="L37" i="2" s="1"/>
  <c r="I37" i="2"/>
  <c r="E37" i="2"/>
  <c r="D37" i="2"/>
  <c r="J36" i="2"/>
  <c r="L36" i="2" s="1"/>
  <c r="I36" i="2"/>
  <c r="E36" i="2"/>
  <c r="D36" i="2"/>
  <c r="J35" i="2"/>
  <c r="L35" i="2" s="1"/>
  <c r="I35" i="2"/>
  <c r="E35" i="2"/>
  <c r="D35" i="2"/>
  <c r="I34" i="2"/>
  <c r="J34" i="2" s="1"/>
  <c r="L34" i="2" s="1"/>
  <c r="E34" i="2"/>
  <c r="D34" i="2"/>
  <c r="J33" i="2"/>
  <c r="L33" i="2" s="1"/>
  <c r="I33" i="2"/>
  <c r="E33" i="2"/>
  <c r="D33" i="2"/>
  <c r="J32" i="2"/>
  <c r="L32" i="2" s="1"/>
  <c r="I32" i="2"/>
  <c r="E32" i="2"/>
  <c r="D32" i="2"/>
  <c r="J31" i="2"/>
  <c r="L31" i="2" s="1"/>
  <c r="I31" i="2"/>
  <c r="E31" i="2"/>
  <c r="D31" i="2"/>
  <c r="I30" i="2"/>
  <c r="J30" i="2" s="1"/>
  <c r="L30" i="2" s="1"/>
  <c r="E30" i="2"/>
  <c r="D30" i="2"/>
  <c r="I29" i="2"/>
  <c r="J29" i="2" s="1"/>
  <c r="L29" i="2" s="1"/>
  <c r="E29" i="2"/>
  <c r="D29" i="2"/>
  <c r="I28" i="2"/>
  <c r="J28" i="2" s="1"/>
  <c r="L28" i="2" s="1"/>
  <c r="E28" i="2"/>
  <c r="D28" i="2"/>
  <c r="I27" i="2"/>
  <c r="J27" i="2" s="1"/>
  <c r="L27" i="2" s="1"/>
  <c r="E27" i="2"/>
  <c r="D27" i="2"/>
  <c r="I26" i="2"/>
  <c r="J26" i="2" s="1"/>
  <c r="L26" i="2" s="1"/>
  <c r="E26" i="2"/>
  <c r="D26" i="2"/>
  <c r="I25" i="2"/>
  <c r="J25" i="2" s="1"/>
  <c r="L25" i="2" s="1"/>
  <c r="E25" i="2"/>
  <c r="D25" i="2"/>
  <c r="I24" i="2"/>
  <c r="J24" i="2" s="1"/>
  <c r="L24" i="2" s="1"/>
  <c r="E24" i="2"/>
  <c r="D24" i="2"/>
  <c r="I23" i="2"/>
  <c r="J23" i="2" s="1"/>
  <c r="L23" i="2" s="1"/>
  <c r="E23" i="2"/>
  <c r="D23" i="2"/>
  <c r="J22" i="2"/>
  <c r="L22" i="2" s="1"/>
  <c r="I22" i="2"/>
  <c r="E22" i="2"/>
  <c r="D22" i="2"/>
  <c r="I21" i="2"/>
  <c r="J21" i="2" s="1"/>
  <c r="L21" i="2" s="1"/>
  <c r="E21" i="2"/>
  <c r="D21" i="2"/>
  <c r="I20" i="2"/>
  <c r="J20" i="2" s="1"/>
  <c r="L20" i="2" s="1"/>
  <c r="E20" i="2"/>
  <c r="D20" i="2"/>
  <c r="I19" i="2"/>
  <c r="J19" i="2" s="1"/>
  <c r="L19" i="2" s="1"/>
  <c r="E19" i="2"/>
  <c r="D19" i="2"/>
  <c r="J18" i="2"/>
  <c r="L18" i="2" s="1"/>
  <c r="I18" i="2"/>
  <c r="E18" i="2"/>
  <c r="D18" i="2"/>
  <c r="I17" i="2"/>
  <c r="J17" i="2" s="1"/>
  <c r="L17" i="2" s="1"/>
  <c r="E17" i="2"/>
  <c r="D17" i="2"/>
  <c r="I16" i="2"/>
  <c r="J16" i="2" s="1"/>
  <c r="L16" i="2" s="1"/>
  <c r="E16" i="2"/>
  <c r="D16" i="2"/>
  <c r="I15" i="2"/>
  <c r="J15" i="2" s="1"/>
  <c r="L15" i="2" s="1"/>
  <c r="E15" i="2"/>
  <c r="D15" i="2"/>
  <c r="I14" i="2"/>
  <c r="J14" i="2" s="1"/>
  <c r="L14" i="2" s="1"/>
  <c r="E14" i="2"/>
  <c r="D14" i="2"/>
  <c r="I13" i="2"/>
  <c r="J13" i="2" s="1"/>
  <c r="L13" i="2" s="1"/>
  <c r="E13" i="2"/>
  <c r="D13" i="2"/>
  <c r="I12" i="2"/>
  <c r="E12" i="2"/>
  <c r="D12" i="2"/>
  <c r="B5" i="3" s="1"/>
  <c r="L10" i="2"/>
  <c r="I10" i="2"/>
  <c r="H10" i="2"/>
  <c r="G10" i="2"/>
  <c r="J10" i="2" l="1"/>
  <c r="J12" i="2"/>
  <c r="L12" i="2" s="1"/>
  <c r="M10" i="2" s="1"/>
  <c r="B6" i="3"/>
  <c r="B7" i="3"/>
  <c r="B3" i="3"/>
  <c r="B8" i="3" l="1"/>
  <c r="K10" i="2"/>
</calcChain>
</file>

<file path=xl/sharedStrings.xml><?xml version="1.0" encoding="utf-8"?>
<sst xmlns="http://schemas.openxmlformats.org/spreadsheetml/2006/main" count="44" uniqueCount="40">
  <si>
    <t>Amount Due</t>
  </si>
  <si>
    <t>Paid</t>
  </si>
  <si>
    <t>Due</t>
  </si>
  <si>
    <t>TOTALS</t>
  </si>
  <si>
    <t>Seller Name: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</si>
  <si>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</si>
  <si>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</si>
  <si>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</si>
  <si>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</si>
  <si>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</si>
  <si>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</si>
  <si>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</si>
  <si>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</si>
  <si>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...or Call: (814) 684-2666 ext. 206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</si>
  <si>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</si>
  <si>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</si>
  <si>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</si>
  <si>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</si>
  <si>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</si>
  <si>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</si>
  <si>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</si>
  <si>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</si>
  <si>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</si>
  <si>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</si>
  <si>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</si>
  <si>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BEFORE PRINTING CLICK ON SECURITY BOX THAT MAY POP UP:</t>
  </si>
  <si>
    <t>Salsas</t>
  </si>
  <si>
    <t>Cowboy</t>
  </si>
  <si>
    <t>MPH</t>
  </si>
  <si>
    <t>Sunset</t>
  </si>
  <si>
    <t>Total Items Sold:</t>
  </si>
  <si>
    <t xml:space="preserve">Total </t>
  </si>
  <si>
    <t xml:space="preserve">, </t>
  </si>
  <si>
    <t>Total Salsas</t>
  </si>
  <si>
    <t>Group Name:</t>
  </si>
  <si>
    <t>Delivery Date:</t>
  </si>
  <si>
    <t>Delivery Location:</t>
  </si>
  <si>
    <t>Delivery Address:</t>
  </si>
  <si>
    <t xml:space="preserve">Salsa Delivery Price : </t>
  </si>
  <si>
    <t>Please See…"SECURITY WARNING- Macros have been disabled." Then click "Enable Content"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</si>
</sst>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18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2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0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0" xfId="0" applyFont="1" applyBorder="1"/>
    <xf numFmtId="0" fontId="2" fillId="0" borderId="2" xfId="0" applyFont="1" applyBorder="1"/>
    <xf numFmtId="0" fontId="2" fillId="0" borderId="21" xfId="0" applyFont="1" applyBorder="1" applyProtection="1">
      <protection locked="0"/>
    </xf>
    <xf numFmtId="0" fontId="2" fillId="2" borderId="5" xfId="0" applyFont="1" applyFill="1" applyBorder="1"/>
    <xf numFmtId="0" fontId="2" fillId="2" borderId="18" xfId="0" applyFont="1" applyFill="1" applyBorder="1" applyProtection="1">
      <protection locked="0"/>
    </xf>
    <xf numFmtId="0" fontId="2" fillId="0" borderId="5" xfId="0" applyFont="1" applyBorder="1"/>
    <xf numFmtId="0" fontId="2" fillId="0" borderId="18" xfId="0" applyFont="1" applyBorder="1" applyProtection="1">
      <protection locked="0"/>
    </xf>
    <xf numFmtId="0" fontId="2" fillId="2" borderId="7" xfId="0" applyFont="1" applyFill="1" applyBorder="1"/>
    <xf numFmtId="0" fontId="2" fillId="2" borderId="19" xfId="0" applyFont="1" applyFill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44" fontId="5" fillId="3" borderId="3" xfId="1" applyFont="1" applyFill="1" applyBorder="1" applyProtection="1"/>
    <xf numFmtId="44" fontId="5" fillId="0" borderId="3" xfId="1" applyFont="1" applyFill="1" applyBorder="1" applyProtection="1">
      <protection locked="0"/>
    </xf>
    <xf numFmtId="44" fontId="5" fillId="3" borderId="4" xfId="1" applyFont="1" applyFill="1" applyBorder="1" applyProtection="1"/>
    <xf numFmtId="44" fontId="5" fillId="2" borderId="1" xfId="1" applyFont="1" applyFill="1" applyBorder="1" applyProtection="1">
      <protection locked="0"/>
    </xf>
    <xf numFmtId="44" fontId="5" fillId="3" borderId="6" xfId="1" applyFont="1" applyFill="1" applyBorder="1" applyProtection="1"/>
    <xf numFmtId="44" fontId="5" fillId="0" borderId="1" xfId="1" applyFont="1" applyFill="1" applyBorder="1" applyProtection="1">
      <protection locked="0"/>
    </xf>
    <xf numFmtId="44" fontId="5" fillId="2" borderId="8" xfId="1" applyFont="1" applyFill="1" applyBorder="1" applyProtection="1">
      <protection locked="0"/>
    </xf>
    <xf numFmtId="44" fontId="5" fillId="3" borderId="9" xfId="1" applyFont="1" applyFill="1" applyBorder="1" applyProtection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3" fillId="5" borderId="0" xfId="0" applyFont="1" applyFill="1"/>
    <xf numFmtId="8" fontId="3" fillId="5" borderId="0" xfId="0" applyNumberFormat="1" applyFont="1" applyFill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1" fontId="7" fillId="0" borderId="0" xfId="0" applyNumberFormat="1" applyFont="1" applyAlignment="1" applyProtection="1">
      <alignment horizontal="center"/>
      <protection hidden="1"/>
    </xf>
    <xf numFmtId="0" fontId="11" fillId="6" borderId="11" xfId="0" applyFont="1" applyFill="1" applyBorder="1"/>
    <xf numFmtId="0" fontId="9" fillId="6" borderId="11" xfId="0" applyFont="1" applyFill="1" applyBorder="1" applyAlignment="1" applyProtection="1">
      <alignment vertical="top"/>
      <protection hidden="1"/>
    </xf>
    <xf numFmtId="0" fontId="0" fillId="6" borderId="11" xfId="0" applyFill="1" applyBorder="1"/>
    <xf numFmtId="0" fontId="0" fillId="6" borderId="12" xfId="0" applyFill="1" applyBorder="1"/>
    <xf numFmtId="0" fontId="10" fillId="6" borderId="30" xfId="0" applyFont="1" applyFill="1" applyBorder="1" applyAlignment="1">
      <alignment vertical="center"/>
    </xf>
    <xf numFmtId="0" fontId="11" fillId="6" borderId="0" xfId="0" applyFont="1" applyFill="1"/>
    <xf numFmtId="0" fontId="9" fillId="6" borderId="0" xfId="0" applyFont="1" applyFill="1" applyAlignment="1" applyProtection="1">
      <alignment vertical="top"/>
      <protection hidden="1"/>
    </xf>
    <xf numFmtId="0" fontId="0" fillId="6" borderId="0" xfId="0" applyFill="1"/>
    <xf numFmtId="0" fontId="0" fillId="6" borderId="31" xfId="0" applyFill="1" applyBorder="1"/>
    <xf numFmtId="0" fontId="9" fillId="6" borderId="0" xfId="0" applyFont="1" applyFill="1" applyAlignment="1" applyProtection="1">
      <alignment vertical="top" wrapText="1"/>
      <protection hidden="1"/>
    </xf>
    <xf numFmtId="0" fontId="10" fillId="6" borderId="27" xfId="0" applyFont="1" applyFill="1" applyBorder="1" applyAlignment="1">
      <alignment vertical="center"/>
    </xf>
    <xf numFmtId="0" fontId="11" fillId="6" borderId="32" xfId="0" applyFont="1" applyFill="1" applyBorder="1"/>
    <xf numFmtId="0" fontId="0" fillId="6" borderId="32" xfId="0" applyFill="1" applyBorder="1" applyProtection="1">
      <protection hidden="1"/>
    </xf>
    <xf numFmtId="0" fontId="0" fillId="6" borderId="32" xfId="0" applyFill="1" applyBorder="1"/>
    <xf numFmtId="0" fontId="0" fillId="6" borderId="26" xfId="0" applyFill="1" applyBorder="1"/>
    <xf numFmtId="0" fontId="3" fillId="0" borderId="0" xfId="0" applyFont="1" applyAlignment="1">
      <alignment horizontal="right"/>
    </xf>
    <xf numFmtId="4" fontId="2" fillId="5" borderId="0" xfId="0" applyNumberFormat="1" applyFont="1" applyFill="1" applyAlignment="1">
      <alignment vertical="center"/>
    </xf>
    <xf numFmtId="4" fontId="2" fillId="5" borderId="0" xfId="0" applyNumberFormat="1" applyFont="1" applyFill="1" applyAlignment="1">
      <alignment horizontal="right" vertical="center"/>
    </xf>
    <xf numFmtId="0" fontId="2" fillId="5" borderId="0" xfId="0" applyFont="1" applyFill="1" applyAlignment="1">
      <alignment vertical="center"/>
    </xf>
    <xf numFmtId="0" fontId="3" fillId="0" borderId="0" xfId="0" applyFont="1" applyAlignment="1">
      <alignment horizontal="left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33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3" fillId="0" borderId="27" xfId="0" applyFont="1" applyBorder="1" applyAlignment="1">
      <alignment horizontal="center"/>
    </xf>
    <xf numFmtId="0" fontId="3" fillId="8" borderId="27" xfId="0" applyFont="1" applyFill="1" applyBorder="1" applyAlignment="1">
      <alignment horizontal="center" wrapText="1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/>
    <xf numFmtId="0" fontId="7" fillId="0" borderId="1" xfId="0" applyFont="1" applyBorder="1" applyAlignment="1" applyProtection="1">
      <alignment horizontal="left"/>
      <protection hidden="1"/>
    </xf>
    <xf numFmtId="0" fontId="7" fillId="10" borderId="1" xfId="0" applyFont="1" applyFill="1" applyBorder="1" applyAlignment="1" applyProtection="1">
      <alignment horizontal="left"/>
      <protection hidden="1"/>
    </xf>
    <xf numFmtId="0" fontId="8" fillId="0" borderId="20" xfId="0" applyFont="1" applyBorder="1" applyAlignment="1" applyProtection="1">
      <alignment horizontal="left"/>
      <protection hidden="1"/>
    </xf>
    <xf numFmtId="0" fontId="6" fillId="7" borderId="0" xfId="0" applyFont="1" applyFill="1" applyAlignment="1" applyProtection="1">
      <alignment horizontal="left" vertical="top"/>
      <protection locked="0" hidden="1"/>
    </xf>
    <xf numFmtId="0" fontId="8" fillId="0" borderId="20" xfId="0" applyFont="1" applyBorder="1" applyAlignment="1" applyProtection="1">
      <alignment horizontal="right"/>
      <protection hidden="1"/>
    </xf>
    <xf numFmtId="0" fontId="10" fillId="9" borderId="39" xfId="0" applyFont="1" applyFill="1" applyBorder="1" applyAlignment="1">
      <alignment horizontal="left" vertical="center"/>
    </xf>
    <xf numFmtId="0" fontId="0" fillId="9" borderId="21" xfId="0" applyFill="1" applyBorder="1"/>
    <xf numFmtId="0" fontId="0" fillId="9" borderId="16" xfId="0" applyFill="1" applyBorder="1"/>
    <xf numFmtId="0" fontId="10" fillId="0" borderId="0" xfId="0" applyFont="1" applyAlignment="1">
      <alignment horizontal="left" vertical="center"/>
    </xf>
    <xf numFmtId="0" fontId="0" fillId="0" borderId="34" xfId="0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14" fillId="6" borderId="10" xfId="0" applyFont="1" applyFill="1" applyBorder="1" applyAlignment="1">
      <alignment vertical="center"/>
    </xf>
    <xf numFmtId="0" fontId="8" fillId="0" borderId="0" xfId="0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right"/>
      <protection hidden="1"/>
    </xf>
    <xf numFmtId="0" fontId="3" fillId="0" borderId="1" xfId="0" applyFont="1" applyBorder="1"/>
    <xf numFmtId="0" fontId="13" fillId="0" borderId="0" xfId="2" applyFont="1" applyFill="1" applyBorder="1" applyAlignment="1" applyProtection="1">
      <protection locked="0"/>
    </xf>
    <xf numFmtId="0" fontId="5" fillId="12" borderId="16" xfId="0" applyFont="1" applyFill="1" applyBorder="1" applyAlignment="1">
      <alignment horizontal="center"/>
    </xf>
    <xf numFmtId="0" fontId="5" fillId="12" borderId="8" xfId="0" applyFont="1" applyFill="1" applyBorder="1" applyAlignment="1">
      <alignment horizontal="center"/>
    </xf>
    <xf numFmtId="0" fontId="16" fillId="12" borderId="41" xfId="0" applyFont="1" applyFill="1" applyBorder="1" applyAlignment="1">
      <alignment horizontal="center" vertical="center" textRotation="45"/>
    </xf>
    <xf numFmtId="4" fontId="3" fillId="3" borderId="24" xfId="0" applyNumberFormat="1" applyFont="1" applyFill="1" applyBorder="1" applyAlignment="1">
      <alignment horizontal="center" vertical="center" textRotation="45" wrapText="1"/>
    </xf>
    <xf numFmtId="4" fontId="3" fillId="0" borderId="24" xfId="0" applyNumberFormat="1" applyFont="1" applyBorder="1" applyAlignment="1">
      <alignment horizontal="center" vertical="center" textRotation="45" wrapText="1"/>
    </xf>
    <xf numFmtId="0" fontId="3" fillId="3" borderId="42" xfId="0" applyFont="1" applyFill="1" applyBorder="1" applyAlignment="1">
      <alignment horizontal="center" vertical="center" textRotation="45" wrapText="1"/>
    </xf>
    <xf numFmtId="0" fontId="16" fillId="4" borderId="23" xfId="0" applyFont="1" applyFill="1" applyBorder="1" applyAlignment="1">
      <alignment horizontal="center" vertical="center" textRotation="45"/>
    </xf>
    <xf numFmtId="0" fontId="16" fillId="13" borderId="24" xfId="0" applyFont="1" applyFill="1" applyBorder="1" applyAlignment="1">
      <alignment horizontal="center" vertical="center" textRotation="45"/>
    </xf>
    <xf numFmtId="0" fontId="3" fillId="13" borderId="14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16" fillId="14" borderId="24" xfId="0" applyFont="1" applyFill="1" applyBorder="1" applyAlignment="1">
      <alignment horizontal="center" vertical="center" textRotation="45"/>
    </xf>
    <xf numFmtId="0" fontId="3" fillId="14" borderId="14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44" fontId="3" fillId="0" borderId="25" xfId="1" applyFont="1" applyFill="1" applyBorder="1" applyAlignment="1" applyProtection="1">
      <alignment horizontal="center"/>
    </xf>
    <xf numFmtId="44" fontId="3" fillId="3" borderId="15" xfId="1" applyFont="1" applyFill="1" applyBorder="1" applyAlignment="1" applyProtection="1">
      <alignment horizontal="center"/>
    </xf>
    <xf numFmtId="44" fontId="3" fillId="3" borderId="15" xfId="1" applyFont="1" applyFill="1" applyBorder="1" applyAlignment="1" applyProtection="1"/>
    <xf numFmtId="0" fontId="3" fillId="0" borderId="0" xfId="0" applyFont="1" applyAlignment="1">
      <alignment textRotation="45"/>
    </xf>
    <xf numFmtId="0" fontId="3" fillId="0" borderId="17" xfId="0" applyFont="1" applyBorder="1"/>
    <xf numFmtId="164" fontId="3" fillId="0" borderId="0" xfId="0" applyNumberFormat="1" applyFont="1" applyAlignment="1" applyProtection="1">
      <alignment horizontal="center"/>
      <protection locked="0"/>
    </xf>
    <xf numFmtId="8" fontId="3" fillId="0" borderId="1" xfId="0" applyNumberFormat="1" applyFont="1" applyBorder="1" applyProtection="1">
      <protection locked="0"/>
    </xf>
    <xf numFmtId="14" fontId="3" fillId="0" borderId="1" xfId="0" applyNumberFormat="1" applyFont="1" applyBorder="1" applyAlignment="1" applyProtection="1">
      <alignment horizontal="center"/>
      <protection locked="0"/>
    </xf>
    <xf numFmtId="0" fontId="17" fillId="12" borderId="22" xfId="0" applyFont="1" applyFill="1" applyBorder="1" applyAlignment="1">
      <alignment horizontal="center"/>
    </xf>
    <xf numFmtId="0" fontId="17" fillId="12" borderId="28" xfId="0" applyFont="1" applyFill="1" applyBorder="1" applyAlignment="1">
      <alignment horizontal="center"/>
    </xf>
    <xf numFmtId="0" fontId="17" fillId="12" borderId="29" xfId="0" applyFont="1" applyFill="1" applyBorder="1" applyAlignment="1">
      <alignment horizontal="center"/>
    </xf>
    <xf numFmtId="0" fontId="4" fillId="8" borderId="22" xfId="0" applyFont="1" applyFill="1" applyBorder="1" applyAlignment="1">
      <alignment horizontal="center" vertical="center"/>
    </xf>
    <xf numFmtId="0" fontId="4" fillId="8" borderId="28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40" xfId="0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3" fillId="0" borderId="17" xfId="0" applyFont="1" applyBorder="1" applyAlignment="1" applyProtection="1">
      <alignment horizontal="center"/>
      <protection locked="0"/>
    </xf>
    <xf numFmtId="0" fontId="2" fillId="0" borderId="17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6" fillId="7" borderId="21" xfId="0" applyFont="1" applyFill="1" applyBorder="1" applyAlignment="1" applyProtection="1">
      <alignment horizontal="left" vertical="top"/>
      <protection locked="0" hidden="1"/>
    </xf>
    <xf numFmtId="0" fontId="7" fillId="0" borderId="0" xfId="0" applyFont="1" applyAlignment="1" applyProtection="1">
      <alignment horizontal="left"/>
      <protection hidden="1"/>
    </xf>
    <xf numFmtId="0" fontId="14" fillId="9" borderId="34" xfId="0" applyFont="1" applyFill="1" applyBorder="1" applyAlignment="1">
      <alignment horizontal="left" vertical="center"/>
    </xf>
    <xf numFmtId="0" fontId="14" fillId="9" borderId="35" xfId="0" applyFont="1" applyFill="1" applyBorder="1" applyAlignment="1">
      <alignment horizontal="left" vertical="center"/>
    </xf>
    <xf numFmtId="0" fontId="14" fillId="9" borderId="36" xfId="0" applyFont="1" applyFill="1" applyBorder="1" applyAlignment="1">
      <alignment horizontal="left" vertical="center"/>
    </xf>
    <xf numFmtId="0" fontId="10" fillId="9" borderId="37" xfId="0" applyFont="1" applyFill="1" applyBorder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0" fillId="9" borderId="38" xfId="0" applyFont="1" applyFill="1" applyBorder="1" applyAlignment="1">
      <alignment horizontal="left" vertical="center"/>
    </xf>
    <xf numFmtId="0" fontId="10" fillId="11" borderId="40" xfId="0" applyFont="1" applyFill="1" applyBorder="1" applyProtection="1">
      <protection hidden="1"/>
    </xf>
    <xf numFmtId="0" fontId="10" fillId="11" borderId="18" xfId="0" applyFont="1" applyFill="1" applyBorder="1" applyProtection="1">
      <protection hidden="1"/>
    </xf>
    <xf numFmtId="0" fontId="10" fillId="11" borderId="17" xfId="0" applyFont="1" applyFill="1" applyBorder="1" applyProtection="1">
      <protection hidden="1"/>
    </xf>
    <xf numFmtId="0" fontId="14" fillId="11" borderId="40" xfId="0" applyFont="1" applyFill="1" applyBorder="1" applyProtection="1">
      <protection hidden="1"/>
    </xf>
    <xf numFmtId="0" fontId="15" fillId="11" borderId="18" xfId="0" applyFont="1" applyFill="1" applyBorder="1" applyProtection="1">
      <protection hidden="1"/>
    </xf>
    <xf numFmtId="0" fontId="15" fillId="11" borderId="17" xfId="0" applyFont="1" applyFill="1" applyBorder="1" applyProtection="1">
      <protection hidden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9999"/>
      <color rgb="FFCCCCFF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247650</xdr:colOff>
      <xdr:row>4</xdr:row>
      <xdr:rowOff>57150</xdr:rowOff>
    </xdr:from>
    <xdr:to>
      <xdr:col>12</xdr:col>
      <xdr:colOff>333375</xdr:colOff>
      <xdr:row>7</xdr:row>
      <xdr:rowOff>76423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FDF7571-BDCD-47D0-8564-6A3116EC5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1047750"/>
          <a:ext cx="2124075" cy="6669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512"/>
  <sheetViews>
    <sheetView showGridLines="0" tabSelected="1" zoomScaleNormal="100" zoomScaleSheetLayoutView="100" workbookViewId="0">
      <pane ySplit="11" topLeftCell="A12" activePane="bottomLeft" state="frozen"/>
      <selection pane="bottomLeft" activeCell="G13" sqref="G13"/>
    </sheetView>
  </sheetViews>
  <sheetFormatPr defaultColWidth="11.42578125" defaultRowHeight="20.100000000000001" customHeight="1" x14ac:dyDescent="0.2"/>
  <cols>
    <col min="1" max="1" width="7.42578125" style="1" customWidth="1"/>
    <col min="2" max="2" width="20.7109375" style="1" customWidth="1"/>
    <col min="3" max="3" width="22" style="1" customWidth="1"/>
    <col min="4" max="5" width="16.28515625" style="1" hidden="1" customWidth="1"/>
    <col min="6" max="13" width="15.28515625" style="2" customWidth="1"/>
    <col min="14" max="14" width="3" style="2" customWidth="1"/>
    <col min="15" max="15" width="15.5703125" style="2" customWidth="1"/>
    <col min="1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3" ht="20.100000000000001" customHeight="1" x14ac:dyDescent="0.25">
      <c r="A1" s="32"/>
      <c r="B1" s="115" t="s">
        <v>34</v>
      </c>
      <c r="C1" s="116"/>
      <c r="D1" s="102"/>
      <c r="E1" s="83"/>
      <c r="F1" s="117"/>
      <c r="G1" s="118"/>
      <c r="H1" s="118"/>
      <c r="I1" s="119"/>
      <c r="K1" s="57" t="s">
        <v>8</v>
      </c>
      <c r="L1" s="3"/>
      <c r="M1" s="4"/>
      <c r="N1" s="1"/>
      <c r="P1" s="3"/>
      <c r="Q1" s="4"/>
      <c r="R1" s="3"/>
    </row>
    <row r="2" spans="1:23" ht="20.100000000000001" customHeight="1" x14ac:dyDescent="0.25">
      <c r="A2" s="32"/>
      <c r="B2" s="115" t="s">
        <v>35</v>
      </c>
      <c r="C2" s="116"/>
      <c r="D2" s="102"/>
      <c r="E2" s="83"/>
      <c r="F2" s="105"/>
      <c r="G2" s="103"/>
      <c r="J2" s="31"/>
      <c r="K2" s="84" t="s">
        <v>16</v>
      </c>
      <c r="L2" s="84"/>
      <c r="M2" s="84"/>
      <c r="N2" s="84"/>
      <c r="P2" s="3"/>
      <c r="Q2" s="4"/>
      <c r="R2" s="3"/>
    </row>
    <row r="3" spans="1:23" ht="19.5" customHeight="1" x14ac:dyDescent="0.25">
      <c r="A3" s="32"/>
      <c r="B3" s="115" t="s">
        <v>38</v>
      </c>
      <c r="C3" s="116"/>
      <c r="D3" s="102"/>
      <c r="E3" s="83"/>
      <c r="F3" s="104"/>
      <c r="J3" s="31"/>
      <c r="K3" s="5" t="s">
        <v>17</v>
      </c>
      <c r="L3" s="3"/>
      <c r="M3" s="4"/>
      <c r="N3" s="1"/>
      <c r="P3" s="3"/>
      <c r="Q3" s="4"/>
      <c r="R3" s="3"/>
    </row>
    <row r="4" spans="1:23" ht="20.100000000000001" customHeight="1" x14ac:dyDescent="0.25">
      <c r="A4" s="32"/>
      <c r="B4" s="115" t="s">
        <v>36</v>
      </c>
      <c r="C4" s="116"/>
      <c r="F4" s="121"/>
      <c r="G4" s="122"/>
      <c r="H4" s="122"/>
      <c r="I4" s="120"/>
      <c r="K4" s="5" t="s">
        <v>13</v>
      </c>
      <c r="L4" s="3"/>
      <c r="M4" s="4"/>
      <c r="N4" s="5"/>
      <c r="P4" s="3"/>
      <c r="Q4" s="4"/>
      <c r="R4" s="3"/>
    </row>
    <row r="5" spans="1:23" ht="20.100000000000001" customHeight="1" x14ac:dyDescent="0.25">
      <c r="A5" s="32"/>
      <c r="B5" s="115" t="s">
        <v>37</v>
      </c>
      <c r="C5" s="120"/>
      <c r="D5" s="2"/>
      <c r="E5" s="2"/>
      <c r="F5" s="121"/>
      <c r="G5" s="122"/>
      <c r="H5" s="122"/>
      <c r="I5" s="120"/>
      <c r="K5" s="31"/>
      <c r="L5" s="31"/>
      <c r="M5" s="31"/>
      <c r="N5" s="31"/>
      <c r="O5" s="31"/>
      <c r="P5" s="31"/>
      <c r="Q5" s="31"/>
      <c r="T5" s="3"/>
      <c r="U5" s="4"/>
    </row>
    <row r="6" spans="1:23" ht="12" customHeight="1" x14ac:dyDescent="0.25">
      <c r="A6" s="32"/>
      <c r="B6" s="53"/>
      <c r="C6" s="53"/>
      <c r="D6" s="53"/>
      <c r="E6" s="53"/>
      <c r="F6" s="53"/>
      <c r="G6" s="53"/>
      <c r="H6" s="53"/>
      <c r="I6" s="34"/>
      <c r="J6" s="34"/>
      <c r="K6" s="34"/>
      <c r="L6" s="31"/>
      <c r="M6" s="31"/>
      <c r="N6" s="31"/>
      <c r="O6" s="31"/>
      <c r="P6" s="31"/>
      <c r="Q6" s="31"/>
      <c r="R6" s="31"/>
      <c r="S6" s="31"/>
      <c r="T6" s="31"/>
      <c r="U6" s="1"/>
      <c r="V6" s="1"/>
      <c r="W6" s="1"/>
    </row>
    <row r="7" spans="1:23" ht="20.100000000000001" customHeight="1" x14ac:dyDescent="0.2">
      <c r="A7" s="32"/>
      <c r="B7" s="123" t="s">
        <v>9</v>
      </c>
      <c r="C7" s="123"/>
      <c r="D7" s="123"/>
      <c r="E7" s="123"/>
      <c r="F7" s="123"/>
      <c r="G7" s="123"/>
      <c r="H7" s="123"/>
      <c r="I7" s="123"/>
      <c r="J7" s="59"/>
      <c r="K7" s="59"/>
      <c r="L7" s="59"/>
      <c r="M7" s="59"/>
      <c r="N7" s="31"/>
      <c r="O7" s="31"/>
      <c r="P7" s="31"/>
      <c r="Q7" s="31"/>
      <c r="R7" s="31"/>
      <c r="S7" s="31"/>
      <c r="T7" s="31"/>
      <c r="U7" s="1"/>
      <c r="V7" s="1"/>
      <c r="W7" s="1"/>
    </row>
    <row r="8" spans="1:23" ht="6.75" customHeight="1" thickBot="1" x14ac:dyDescent="0.3">
      <c r="A8" s="32"/>
      <c r="C8" s="33"/>
      <c r="D8" s="33"/>
      <c r="E8" s="33"/>
      <c r="F8" s="34"/>
      <c r="G8" s="34"/>
      <c r="H8" s="31"/>
      <c r="I8" s="31"/>
      <c r="J8" s="54"/>
      <c r="K8" s="55"/>
      <c r="L8" s="56"/>
      <c r="M8" s="1"/>
      <c r="N8" s="1"/>
      <c r="O8" s="1"/>
      <c r="P8" s="1"/>
      <c r="Q8" s="1"/>
      <c r="R8" s="1"/>
      <c r="S8" s="1"/>
      <c r="T8" s="31"/>
      <c r="U8" s="1"/>
      <c r="V8" s="1"/>
      <c r="W8" s="1"/>
    </row>
    <row r="9" spans="1:23" s="59" customFormat="1" ht="21" customHeight="1" thickBot="1" x14ac:dyDescent="0.3">
      <c r="A9" s="58"/>
      <c r="B9" s="58"/>
      <c r="C9" s="58"/>
      <c r="D9" s="58"/>
      <c r="E9" s="58"/>
      <c r="G9" s="109" t="s">
        <v>26</v>
      </c>
      <c r="H9" s="110"/>
      <c r="I9" s="110"/>
      <c r="J9" s="111"/>
      <c r="K9" s="112" t="s">
        <v>3</v>
      </c>
      <c r="L9" s="113"/>
      <c r="M9" s="114"/>
      <c r="N9" s="5"/>
    </row>
    <row r="10" spans="1:23" s="5" customFormat="1" ht="23.25" customHeight="1" thickBot="1" x14ac:dyDescent="0.3">
      <c r="A10" s="33"/>
      <c r="B10" s="106" t="s">
        <v>30</v>
      </c>
      <c r="C10" s="107"/>
      <c r="D10" s="107"/>
      <c r="E10" s="107"/>
      <c r="F10" s="108"/>
      <c r="G10" s="94">
        <f t="shared" ref="G10:M10" si="0">SUM(F12:F511)</f>
        <v>0</v>
      </c>
      <c r="H10" s="96">
        <f t="shared" si="0"/>
        <v>0</v>
      </c>
      <c r="I10" s="93">
        <f t="shared" si="0"/>
        <v>0</v>
      </c>
      <c r="J10" s="97">
        <f t="shared" si="0"/>
        <v>0</v>
      </c>
      <c r="K10" s="99">
        <f t="shared" si="0"/>
        <v>0</v>
      </c>
      <c r="L10" s="98">
        <f t="shared" si="0"/>
        <v>0</v>
      </c>
      <c r="M10" s="100">
        <f t="shared" si="0"/>
        <v>0</v>
      </c>
      <c r="P10" s="59"/>
      <c r="Q10" s="59"/>
    </row>
    <row r="11" spans="1:23" s="5" customFormat="1" ht="85.5" customHeight="1" thickBot="1" x14ac:dyDescent="0.3">
      <c r="A11" s="6"/>
      <c r="B11" s="64" t="s">
        <v>10</v>
      </c>
      <c r="C11" s="64" t="s">
        <v>11</v>
      </c>
      <c r="D11" s="65" t="s">
        <v>12</v>
      </c>
      <c r="E11" s="65" t="s">
        <v>12</v>
      </c>
      <c r="F11" s="91" t="s">
        <v>27</v>
      </c>
      <c r="G11" s="95" t="s">
        <v>28</v>
      </c>
      <c r="H11" s="92" t="s">
        <v>29</v>
      </c>
      <c r="I11" s="87" t="s">
        <v>31</v>
      </c>
      <c r="J11" s="88" t="s">
        <v>0</v>
      </c>
      <c r="K11" s="89" t="s">
        <v>1</v>
      </c>
      <c r="L11" s="90" t="s">
        <v>2</v>
      </c>
      <c r="M11" s="101"/>
    </row>
    <row r="12" spans="1:23" ht="20.100000000000001" customHeight="1" x14ac:dyDescent="0.2">
      <c r="A12" s="7">
        <v>1</v>
      </c>
      <c r="B12" s="8"/>
      <c r="C12" s="60"/>
      <c r="D12" s="1" t="str">
        <f>CONCATENATE(C12,", ",B12)</f>
        <v xml:space="preserve">, </v>
      </c>
      <c r="E12" s="1">
        <f>A12</f>
        <v>1</v>
      </c>
      <c r="F12" s="15"/>
      <c r="G12" s="16"/>
      <c r="H12" s="16"/>
      <c r="I12" s="85">
        <f t="shared" ref="I12:I75" si="1">SUM(F12:H12)</f>
        <v>0</v>
      </c>
      <c r="J12" s="23">
        <f t="shared" ref="J12:J75" si="2">IFERROR(I12*$F$3,0)</f>
        <v>0</v>
      </c>
      <c r="K12" s="24"/>
      <c r="L12" s="25">
        <f>J12-K12</f>
        <v>0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20.100000000000001" customHeight="1" x14ac:dyDescent="0.2">
      <c r="A13" s="9">
        <v>2</v>
      </c>
      <c r="B13" s="10"/>
      <c r="C13" s="61"/>
      <c r="D13" s="1" t="str">
        <f>CONCATENATE(C13,", ",B13)</f>
        <v xml:space="preserve">, </v>
      </c>
      <c r="E13" s="1">
        <f>A13</f>
        <v>2</v>
      </c>
      <c r="F13" s="17"/>
      <c r="G13" s="18"/>
      <c r="H13" s="18"/>
      <c r="I13" s="85">
        <f t="shared" si="1"/>
        <v>0</v>
      </c>
      <c r="J13" s="23">
        <f t="shared" si="2"/>
        <v>0</v>
      </c>
      <c r="K13" s="26"/>
      <c r="L13" s="25">
        <f>J13-K13</f>
        <v>0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20.100000000000001" customHeight="1" x14ac:dyDescent="0.2">
      <c r="A14" s="11">
        <v>3</v>
      </c>
      <c r="B14" s="12"/>
      <c r="C14" s="62"/>
      <c r="D14" s="1" t="str">
        <f>CONCATENATE(C14,", ",B14)</f>
        <v xml:space="preserve">, </v>
      </c>
      <c r="E14" s="1">
        <f>A14</f>
        <v>3</v>
      </c>
      <c r="F14" s="19"/>
      <c r="G14" s="20"/>
      <c r="H14" s="20"/>
      <c r="I14" s="85">
        <f t="shared" si="1"/>
        <v>0</v>
      </c>
      <c r="J14" s="23">
        <f t="shared" si="2"/>
        <v>0</v>
      </c>
      <c r="K14" s="28"/>
      <c r="L14" s="25">
        <f>J14-K14</f>
        <v>0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20.100000000000001" customHeight="1" x14ac:dyDescent="0.2">
      <c r="A15" s="9">
        <v>4</v>
      </c>
      <c r="B15" s="10"/>
      <c r="C15" s="61"/>
      <c r="D15" s="1" t="str">
        <f>CONCATENATE(C15,", ",B15)</f>
        <v xml:space="preserve">, </v>
      </c>
      <c r="E15" s="1">
        <f t="shared" ref="E15:E76" si="3">A15</f>
        <v>4</v>
      </c>
      <c r="F15" s="17"/>
      <c r="G15" s="18"/>
      <c r="H15" s="18"/>
      <c r="I15" s="85">
        <f t="shared" si="1"/>
        <v>0</v>
      </c>
      <c r="J15" s="23">
        <f t="shared" si="2"/>
        <v>0</v>
      </c>
      <c r="K15" s="26"/>
      <c r="L15" s="27">
        <f t="shared" ref="L15:L49" si="4">J15-K15</f>
        <v>0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20.100000000000001" customHeight="1" x14ac:dyDescent="0.2">
      <c r="A16" s="7">
        <v>5</v>
      </c>
      <c r="B16" s="8"/>
      <c r="C16" s="62"/>
      <c r="D16" s="1" t="str">
        <f t="shared" ref="D16:D76" si="5">CONCATENATE(C16,", ",B16)</f>
        <v xml:space="preserve">, </v>
      </c>
      <c r="E16" s="1">
        <f t="shared" si="3"/>
        <v>5</v>
      </c>
      <c r="F16" s="15"/>
      <c r="G16" s="16"/>
      <c r="H16" s="16"/>
      <c r="I16" s="85">
        <f t="shared" si="1"/>
        <v>0</v>
      </c>
      <c r="J16" s="23">
        <f t="shared" si="2"/>
        <v>0</v>
      </c>
      <c r="K16" s="24"/>
      <c r="L16" s="25">
        <f t="shared" si="4"/>
        <v>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20.100000000000001" customHeight="1" x14ac:dyDescent="0.2">
      <c r="A17" s="9">
        <v>6</v>
      </c>
      <c r="B17" s="10"/>
      <c r="C17" s="61"/>
      <c r="D17" s="1" t="str">
        <f t="shared" si="5"/>
        <v xml:space="preserve">, </v>
      </c>
      <c r="E17" s="1">
        <f t="shared" si="3"/>
        <v>6</v>
      </c>
      <c r="F17" s="17"/>
      <c r="G17" s="18"/>
      <c r="H17" s="18"/>
      <c r="I17" s="85">
        <f t="shared" si="1"/>
        <v>0</v>
      </c>
      <c r="J17" s="23">
        <f t="shared" si="2"/>
        <v>0</v>
      </c>
      <c r="K17" s="26"/>
      <c r="L17" s="27">
        <f t="shared" si="4"/>
        <v>0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ht="20.100000000000001" customHeight="1" x14ac:dyDescent="0.2">
      <c r="A18" s="11">
        <v>7</v>
      </c>
      <c r="B18" s="12"/>
      <c r="C18" s="62"/>
      <c r="D18" s="1" t="str">
        <f t="shared" si="5"/>
        <v xml:space="preserve">, </v>
      </c>
      <c r="E18" s="1">
        <f t="shared" si="3"/>
        <v>7</v>
      </c>
      <c r="F18" s="19"/>
      <c r="G18" s="20"/>
      <c r="H18" s="20"/>
      <c r="I18" s="85">
        <f t="shared" si="1"/>
        <v>0</v>
      </c>
      <c r="J18" s="23">
        <f t="shared" si="2"/>
        <v>0</v>
      </c>
      <c r="K18" s="28"/>
      <c r="L18" s="27">
        <f t="shared" si="4"/>
        <v>0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ht="20.100000000000001" customHeight="1" x14ac:dyDescent="0.2">
      <c r="A19" s="9">
        <v>8</v>
      </c>
      <c r="B19" s="10"/>
      <c r="C19" s="61"/>
      <c r="D19" s="1" t="str">
        <f t="shared" si="5"/>
        <v xml:space="preserve">, </v>
      </c>
      <c r="E19" s="1">
        <f t="shared" si="3"/>
        <v>8</v>
      </c>
      <c r="F19" s="17"/>
      <c r="G19" s="18"/>
      <c r="H19" s="18"/>
      <c r="I19" s="85">
        <f t="shared" si="1"/>
        <v>0</v>
      </c>
      <c r="J19" s="23">
        <f t="shared" si="2"/>
        <v>0</v>
      </c>
      <c r="K19" s="26"/>
      <c r="L19" s="27">
        <f t="shared" si="4"/>
        <v>0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ht="20.100000000000001" customHeight="1" x14ac:dyDescent="0.2">
      <c r="A20" s="7">
        <v>9</v>
      </c>
      <c r="B20" s="8"/>
      <c r="C20" s="62"/>
      <c r="D20" s="1" t="str">
        <f t="shared" si="5"/>
        <v xml:space="preserve">, </v>
      </c>
      <c r="E20" s="1">
        <f t="shared" si="3"/>
        <v>9</v>
      </c>
      <c r="F20" s="15"/>
      <c r="G20" s="16"/>
      <c r="H20" s="16"/>
      <c r="I20" s="85">
        <f t="shared" si="1"/>
        <v>0</v>
      </c>
      <c r="J20" s="23">
        <f t="shared" si="2"/>
        <v>0</v>
      </c>
      <c r="K20" s="24"/>
      <c r="L20" s="25">
        <f t="shared" si="4"/>
        <v>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ht="20.100000000000001" customHeight="1" x14ac:dyDescent="0.2">
      <c r="A21" s="9">
        <v>10</v>
      </c>
      <c r="B21" s="10"/>
      <c r="C21" s="61"/>
      <c r="D21" s="1" t="str">
        <f t="shared" si="5"/>
        <v xml:space="preserve">, </v>
      </c>
      <c r="E21" s="1">
        <f t="shared" si="3"/>
        <v>10</v>
      </c>
      <c r="F21" s="17"/>
      <c r="G21" s="18"/>
      <c r="H21" s="18"/>
      <c r="I21" s="85">
        <f t="shared" si="1"/>
        <v>0</v>
      </c>
      <c r="J21" s="23">
        <f t="shared" si="2"/>
        <v>0</v>
      </c>
      <c r="K21" s="26"/>
      <c r="L21" s="27">
        <f t="shared" si="4"/>
        <v>0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ht="20.100000000000001" customHeight="1" x14ac:dyDescent="0.2">
      <c r="A22" s="11">
        <v>11</v>
      </c>
      <c r="B22" s="12"/>
      <c r="C22" s="62"/>
      <c r="D22" s="1" t="str">
        <f t="shared" si="5"/>
        <v xml:space="preserve">, </v>
      </c>
      <c r="E22" s="1">
        <f t="shared" si="3"/>
        <v>11</v>
      </c>
      <c r="F22" s="19"/>
      <c r="G22" s="20"/>
      <c r="H22" s="20"/>
      <c r="I22" s="85">
        <f t="shared" si="1"/>
        <v>0</v>
      </c>
      <c r="J22" s="23">
        <f t="shared" si="2"/>
        <v>0</v>
      </c>
      <c r="K22" s="28"/>
      <c r="L22" s="27">
        <f t="shared" si="4"/>
        <v>0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ht="20.100000000000001" customHeight="1" x14ac:dyDescent="0.2">
      <c r="A23" s="9">
        <v>12</v>
      </c>
      <c r="B23" s="10"/>
      <c r="C23" s="61"/>
      <c r="D23" s="1" t="str">
        <f t="shared" si="5"/>
        <v xml:space="preserve">, </v>
      </c>
      <c r="E23" s="1">
        <f t="shared" si="3"/>
        <v>12</v>
      </c>
      <c r="F23" s="17"/>
      <c r="G23" s="18"/>
      <c r="H23" s="18"/>
      <c r="I23" s="85">
        <f t="shared" si="1"/>
        <v>0</v>
      </c>
      <c r="J23" s="23">
        <f t="shared" si="2"/>
        <v>0</v>
      </c>
      <c r="K23" s="26"/>
      <c r="L23" s="27">
        <f t="shared" si="4"/>
        <v>0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ht="20.100000000000001" customHeight="1" x14ac:dyDescent="0.2">
      <c r="A24" s="7">
        <v>13</v>
      </c>
      <c r="B24" s="8"/>
      <c r="C24" s="62"/>
      <c r="D24" s="1" t="str">
        <f t="shared" si="5"/>
        <v xml:space="preserve">, </v>
      </c>
      <c r="E24" s="1">
        <f t="shared" si="3"/>
        <v>13</v>
      </c>
      <c r="F24" s="15"/>
      <c r="G24" s="16"/>
      <c r="H24" s="16"/>
      <c r="I24" s="85">
        <f t="shared" si="1"/>
        <v>0</v>
      </c>
      <c r="J24" s="23">
        <f t="shared" si="2"/>
        <v>0</v>
      </c>
      <c r="K24" s="24"/>
      <c r="L24" s="25">
        <f t="shared" si="4"/>
        <v>0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ht="20.100000000000001" customHeight="1" x14ac:dyDescent="0.2">
      <c r="A25" s="9">
        <v>14</v>
      </c>
      <c r="B25" s="10"/>
      <c r="C25" s="61"/>
      <c r="D25" s="1" t="str">
        <f t="shared" si="5"/>
        <v xml:space="preserve">, </v>
      </c>
      <c r="E25" s="1">
        <f t="shared" si="3"/>
        <v>14</v>
      </c>
      <c r="F25" s="17"/>
      <c r="G25" s="18"/>
      <c r="H25" s="18"/>
      <c r="I25" s="85">
        <f t="shared" si="1"/>
        <v>0</v>
      </c>
      <c r="J25" s="23">
        <f t="shared" si="2"/>
        <v>0</v>
      </c>
      <c r="K25" s="26"/>
      <c r="L25" s="27">
        <f t="shared" si="4"/>
        <v>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ht="20.100000000000001" customHeight="1" x14ac:dyDescent="0.2">
      <c r="A26" s="11">
        <v>15</v>
      </c>
      <c r="B26" s="12"/>
      <c r="C26" s="62"/>
      <c r="D26" s="1" t="str">
        <f t="shared" si="5"/>
        <v xml:space="preserve">, </v>
      </c>
      <c r="E26" s="1">
        <f t="shared" si="3"/>
        <v>15</v>
      </c>
      <c r="F26" s="19"/>
      <c r="G26" s="20"/>
      <c r="H26" s="20"/>
      <c r="I26" s="85">
        <f t="shared" si="1"/>
        <v>0</v>
      </c>
      <c r="J26" s="23">
        <f t="shared" si="2"/>
        <v>0</v>
      </c>
      <c r="K26" s="28"/>
      <c r="L26" s="27">
        <f t="shared" si="4"/>
        <v>0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ht="20.100000000000001" customHeight="1" x14ac:dyDescent="0.2">
      <c r="A27" s="9">
        <v>16</v>
      </c>
      <c r="B27" s="10"/>
      <c r="C27" s="61"/>
      <c r="D27" s="1" t="str">
        <f t="shared" si="5"/>
        <v xml:space="preserve">, </v>
      </c>
      <c r="E27" s="1">
        <f t="shared" si="3"/>
        <v>16</v>
      </c>
      <c r="F27" s="17"/>
      <c r="G27" s="18"/>
      <c r="H27" s="18"/>
      <c r="I27" s="85">
        <f t="shared" si="1"/>
        <v>0</v>
      </c>
      <c r="J27" s="23">
        <f t="shared" si="2"/>
        <v>0</v>
      </c>
      <c r="K27" s="26"/>
      <c r="L27" s="27">
        <f t="shared" ref="L27:L40" si="6">J27-K27</f>
        <v>0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ht="20.100000000000001" customHeight="1" x14ac:dyDescent="0.2">
      <c r="A28" s="7">
        <v>17</v>
      </c>
      <c r="B28" s="8"/>
      <c r="C28" s="62"/>
      <c r="D28" s="1" t="str">
        <f t="shared" si="5"/>
        <v xml:space="preserve">, </v>
      </c>
      <c r="E28" s="1">
        <f t="shared" si="3"/>
        <v>17</v>
      </c>
      <c r="F28" s="15"/>
      <c r="G28" s="16"/>
      <c r="H28" s="16"/>
      <c r="I28" s="85">
        <f t="shared" si="1"/>
        <v>0</v>
      </c>
      <c r="J28" s="23">
        <f t="shared" si="2"/>
        <v>0</v>
      </c>
      <c r="K28" s="24"/>
      <c r="L28" s="25">
        <f t="shared" si="6"/>
        <v>0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ht="20.100000000000001" customHeight="1" x14ac:dyDescent="0.2">
      <c r="A29" s="9">
        <v>18</v>
      </c>
      <c r="B29" s="10"/>
      <c r="C29" s="61"/>
      <c r="D29" s="1" t="str">
        <f t="shared" si="5"/>
        <v xml:space="preserve">, </v>
      </c>
      <c r="E29" s="1">
        <f t="shared" si="3"/>
        <v>18</v>
      </c>
      <c r="F29" s="17"/>
      <c r="G29" s="18"/>
      <c r="H29" s="18"/>
      <c r="I29" s="85">
        <f t="shared" si="1"/>
        <v>0</v>
      </c>
      <c r="J29" s="23">
        <f t="shared" si="2"/>
        <v>0</v>
      </c>
      <c r="K29" s="26"/>
      <c r="L29" s="27">
        <f t="shared" si="6"/>
        <v>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ht="20.100000000000001" customHeight="1" x14ac:dyDescent="0.2">
      <c r="A30" s="11">
        <v>19</v>
      </c>
      <c r="B30" s="12"/>
      <c r="C30" s="62"/>
      <c r="D30" s="1" t="str">
        <f t="shared" si="5"/>
        <v xml:space="preserve">, </v>
      </c>
      <c r="E30" s="1">
        <f t="shared" si="3"/>
        <v>19</v>
      </c>
      <c r="F30" s="19"/>
      <c r="G30" s="20"/>
      <c r="H30" s="20"/>
      <c r="I30" s="85">
        <f t="shared" si="1"/>
        <v>0</v>
      </c>
      <c r="J30" s="23">
        <f t="shared" si="2"/>
        <v>0</v>
      </c>
      <c r="K30" s="28"/>
      <c r="L30" s="27">
        <f t="shared" si="6"/>
        <v>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ht="20.100000000000001" customHeight="1" x14ac:dyDescent="0.2">
      <c r="A31" s="9">
        <v>20</v>
      </c>
      <c r="B31" s="10"/>
      <c r="C31" s="61"/>
      <c r="D31" s="1" t="str">
        <f t="shared" si="5"/>
        <v xml:space="preserve">, </v>
      </c>
      <c r="E31" s="1">
        <f t="shared" si="3"/>
        <v>20</v>
      </c>
      <c r="F31" s="17"/>
      <c r="G31" s="18"/>
      <c r="H31" s="18"/>
      <c r="I31" s="85">
        <f t="shared" si="1"/>
        <v>0</v>
      </c>
      <c r="J31" s="23">
        <f t="shared" si="2"/>
        <v>0</v>
      </c>
      <c r="K31" s="26"/>
      <c r="L31" s="27">
        <f t="shared" si="6"/>
        <v>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ht="20.100000000000001" customHeight="1" x14ac:dyDescent="0.2">
      <c r="A32" s="7">
        <v>21</v>
      </c>
      <c r="B32" s="8"/>
      <c r="C32" s="62"/>
      <c r="D32" s="1" t="str">
        <f t="shared" si="5"/>
        <v xml:space="preserve">, </v>
      </c>
      <c r="E32" s="1">
        <f t="shared" si="3"/>
        <v>21</v>
      </c>
      <c r="F32" s="15"/>
      <c r="G32" s="16"/>
      <c r="H32" s="16"/>
      <c r="I32" s="85">
        <f t="shared" si="1"/>
        <v>0</v>
      </c>
      <c r="J32" s="23">
        <f t="shared" si="2"/>
        <v>0</v>
      </c>
      <c r="K32" s="24"/>
      <c r="L32" s="25">
        <f t="shared" si="6"/>
        <v>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ht="20.100000000000001" customHeight="1" x14ac:dyDescent="0.2">
      <c r="A33" s="9">
        <v>22</v>
      </c>
      <c r="B33" s="10"/>
      <c r="C33" s="61"/>
      <c r="D33" s="1" t="str">
        <f t="shared" si="5"/>
        <v xml:space="preserve">, </v>
      </c>
      <c r="E33" s="1">
        <f t="shared" si="3"/>
        <v>22</v>
      </c>
      <c r="F33" s="17"/>
      <c r="G33" s="18"/>
      <c r="H33" s="18"/>
      <c r="I33" s="85">
        <f t="shared" si="1"/>
        <v>0</v>
      </c>
      <c r="J33" s="23">
        <f t="shared" si="2"/>
        <v>0</v>
      </c>
      <c r="K33" s="26"/>
      <c r="L33" s="27">
        <f t="shared" si="6"/>
        <v>0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ht="20.100000000000001" customHeight="1" x14ac:dyDescent="0.2">
      <c r="A34" s="11">
        <v>23</v>
      </c>
      <c r="B34" s="12"/>
      <c r="C34" s="62"/>
      <c r="D34" s="1" t="str">
        <f t="shared" si="5"/>
        <v xml:space="preserve">, </v>
      </c>
      <c r="E34" s="1">
        <f t="shared" si="3"/>
        <v>23</v>
      </c>
      <c r="F34" s="19"/>
      <c r="G34" s="20"/>
      <c r="H34" s="20"/>
      <c r="I34" s="85">
        <f t="shared" si="1"/>
        <v>0</v>
      </c>
      <c r="J34" s="23">
        <f t="shared" si="2"/>
        <v>0</v>
      </c>
      <c r="K34" s="28"/>
      <c r="L34" s="27">
        <f t="shared" si="6"/>
        <v>0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ht="20.100000000000001" customHeight="1" x14ac:dyDescent="0.2">
      <c r="A35" s="9">
        <v>24</v>
      </c>
      <c r="B35" s="10"/>
      <c r="C35" s="61"/>
      <c r="D35" s="1" t="str">
        <f t="shared" si="5"/>
        <v xml:space="preserve">, </v>
      </c>
      <c r="E35" s="1">
        <f t="shared" si="3"/>
        <v>24</v>
      </c>
      <c r="F35" s="17"/>
      <c r="G35" s="18"/>
      <c r="H35" s="18"/>
      <c r="I35" s="85">
        <f t="shared" si="1"/>
        <v>0</v>
      </c>
      <c r="J35" s="23">
        <f t="shared" si="2"/>
        <v>0</v>
      </c>
      <c r="K35" s="26"/>
      <c r="L35" s="27">
        <f t="shared" si="6"/>
        <v>0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ht="20.100000000000001" customHeight="1" x14ac:dyDescent="0.2">
      <c r="A36" s="7">
        <v>25</v>
      </c>
      <c r="B36" s="8"/>
      <c r="C36" s="62"/>
      <c r="D36" s="1" t="str">
        <f t="shared" si="5"/>
        <v xml:space="preserve">, </v>
      </c>
      <c r="E36" s="1">
        <f t="shared" si="3"/>
        <v>25</v>
      </c>
      <c r="F36" s="15"/>
      <c r="G36" s="16"/>
      <c r="H36" s="16"/>
      <c r="I36" s="85">
        <f t="shared" si="1"/>
        <v>0</v>
      </c>
      <c r="J36" s="23">
        <f t="shared" si="2"/>
        <v>0</v>
      </c>
      <c r="K36" s="24"/>
      <c r="L36" s="25">
        <f t="shared" si="6"/>
        <v>0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ht="20.100000000000001" customHeight="1" x14ac:dyDescent="0.2">
      <c r="A37" s="9">
        <v>26</v>
      </c>
      <c r="B37" s="10"/>
      <c r="C37" s="61"/>
      <c r="D37" s="1" t="str">
        <f t="shared" si="5"/>
        <v xml:space="preserve">, </v>
      </c>
      <c r="E37" s="1">
        <f t="shared" si="3"/>
        <v>26</v>
      </c>
      <c r="F37" s="17"/>
      <c r="G37" s="18"/>
      <c r="H37" s="18"/>
      <c r="I37" s="85">
        <f t="shared" si="1"/>
        <v>0</v>
      </c>
      <c r="J37" s="23">
        <f t="shared" si="2"/>
        <v>0</v>
      </c>
      <c r="K37" s="26"/>
      <c r="L37" s="27">
        <f t="shared" si="6"/>
        <v>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ht="20.100000000000001" customHeight="1" x14ac:dyDescent="0.2">
      <c r="A38" s="11">
        <v>27</v>
      </c>
      <c r="B38" s="12"/>
      <c r="C38" s="62"/>
      <c r="D38" s="1" t="str">
        <f t="shared" si="5"/>
        <v xml:space="preserve">, </v>
      </c>
      <c r="E38" s="1">
        <f t="shared" si="3"/>
        <v>27</v>
      </c>
      <c r="F38" s="19"/>
      <c r="G38" s="20"/>
      <c r="H38" s="20"/>
      <c r="I38" s="85">
        <f t="shared" si="1"/>
        <v>0</v>
      </c>
      <c r="J38" s="23">
        <f t="shared" si="2"/>
        <v>0</v>
      </c>
      <c r="K38" s="28"/>
      <c r="L38" s="27">
        <f t="shared" si="6"/>
        <v>0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ht="20.100000000000001" customHeight="1" x14ac:dyDescent="0.2">
      <c r="A39" s="9">
        <v>28</v>
      </c>
      <c r="B39" s="10"/>
      <c r="C39" s="61"/>
      <c r="D39" s="1" t="str">
        <f t="shared" si="5"/>
        <v xml:space="preserve">, </v>
      </c>
      <c r="E39" s="1">
        <f t="shared" si="3"/>
        <v>28</v>
      </c>
      <c r="F39" s="17"/>
      <c r="G39" s="18"/>
      <c r="H39" s="18"/>
      <c r="I39" s="85">
        <f t="shared" si="1"/>
        <v>0</v>
      </c>
      <c r="J39" s="23">
        <f t="shared" si="2"/>
        <v>0</v>
      </c>
      <c r="K39" s="26"/>
      <c r="L39" s="27">
        <f t="shared" si="6"/>
        <v>0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ht="20.100000000000001" customHeight="1" x14ac:dyDescent="0.2">
      <c r="A40" s="7">
        <v>29</v>
      </c>
      <c r="B40" s="8"/>
      <c r="C40" s="62"/>
      <c r="D40" s="1" t="str">
        <f t="shared" si="5"/>
        <v xml:space="preserve">, </v>
      </c>
      <c r="E40" s="1">
        <f t="shared" si="3"/>
        <v>29</v>
      </c>
      <c r="F40" s="15"/>
      <c r="G40" s="16"/>
      <c r="H40" s="16"/>
      <c r="I40" s="85">
        <f t="shared" si="1"/>
        <v>0</v>
      </c>
      <c r="J40" s="23">
        <f t="shared" si="2"/>
        <v>0</v>
      </c>
      <c r="K40" s="24"/>
      <c r="L40" s="25">
        <f t="shared" si="6"/>
        <v>0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ht="20.100000000000001" customHeight="1" x14ac:dyDescent="0.2">
      <c r="A41" s="9">
        <v>30</v>
      </c>
      <c r="B41" s="10"/>
      <c r="C41" s="61"/>
      <c r="D41" s="1" t="str">
        <f t="shared" si="5"/>
        <v xml:space="preserve">, </v>
      </c>
      <c r="E41" s="1">
        <f t="shared" si="3"/>
        <v>30</v>
      </c>
      <c r="F41" s="17"/>
      <c r="G41" s="18"/>
      <c r="H41" s="18"/>
      <c r="I41" s="85">
        <f t="shared" si="1"/>
        <v>0</v>
      </c>
      <c r="J41" s="23">
        <f t="shared" si="2"/>
        <v>0</v>
      </c>
      <c r="K41" s="26"/>
      <c r="L41" s="27">
        <f t="shared" si="4"/>
        <v>0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ht="20.100000000000001" customHeight="1" x14ac:dyDescent="0.2">
      <c r="A42" s="11">
        <v>31</v>
      </c>
      <c r="B42" s="12"/>
      <c r="C42" s="62"/>
      <c r="D42" s="1" t="str">
        <f t="shared" si="5"/>
        <v xml:space="preserve">, </v>
      </c>
      <c r="E42" s="1">
        <f t="shared" si="3"/>
        <v>31</v>
      </c>
      <c r="F42" s="19"/>
      <c r="G42" s="20"/>
      <c r="H42" s="20"/>
      <c r="I42" s="85">
        <f t="shared" si="1"/>
        <v>0</v>
      </c>
      <c r="J42" s="23">
        <f t="shared" si="2"/>
        <v>0</v>
      </c>
      <c r="K42" s="28"/>
      <c r="L42" s="27">
        <f t="shared" si="4"/>
        <v>0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ht="20.100000000000001" customHeight="1" x14ac:dyDescent="0.2">
      <c r="A43" s="9">
        <v>32</v>
      </c>
      <c r="B43" s="10"/>
      <c r="C43" s="61"/>
      <c r="D43" s="1" t="str">
        <f t="shared" si="5"/>
        <v xml:space="preserve">, </v>
      </c>
      <c r="E43" s="1">
        <f t="shared" si="3"/>
        <v>32</v>
      </c>
      <c r="F43" s="17"/>
      <c r="G43" s="18"/>
      <c r="H43" s="18"/>
      <c r="I43" s="85">
        <f t="shared" si="1"/>
        <v>0</v>
      </c>
      <c r="J43" s="23">
        <f t="shared" si="2"/>
        <v>0</v>
      </c>
      <c r="K43" s="26"/>
      <c r="L43" s="27">
        <f t="shared" si="4"/>
        <v>0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ht="20.100000000000001" customHeight="1" x14ac:dyDescent="0.2">
      <c r="A44" s="7">
        <v>33</v>
      </c>
      <c r="B44" s="8"/>
      <c r="C44" s="62"/>
      <c r="D44" s="1" t="str">
        <f t="shared" si="5"/>
        <v xml:space="preserve">, </v>
      </c>
      <c r="E44" s="1">
        <f t="shared" si="3"/>
        <v>33</v>
      </c>
      <c r="F44" s="15"/>
      <c r="G44" s="16"/>
      <c r="H44" s="16"/>
      <c r="I44" s="85">
        <f t="shared" si="1"/>
        <v>0</v>
      </c>
      <c r="J44" s="23">
        <f t="shared" si="2"/>
        <v>0</v>
      </c>
      <c r="K44" s="24"/>
      <c r="L44" s="25">
        <f t="shared" si="4"/>
        <v>0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20.100000000000001" customHeight="1" x14ac:dyDescent="0.2">
      <c r="A45" s="9">
        <v>34</v>
      </c>
      <c r="B45" s="10"/>
      <c r="C45" s="61"/>
      <c r="D45" s="1" t="str">
        <f t="shared" si="5"/>
        <v xml:space="preserve">, </v>
      </c>
      <c r="E45" s="1">
        <f t="shared" si="3"/>
        <v>34</v>
      </c>
      <c r="F45" s="17"/>
      <c r="G45" s="18"/>
      <c r="H45" s="18"/>
      <c r="I45" s="85">
        <f t="shared" si="1"/>
        <v>0</v>
      </c>
      <c r="J45" s="23">
        <f t="shared" si="2"/>
        <v>0</v>
      </c>
      <c r="K45" s="26"/>
      <c r="L45" s="27">
        <f t="shared" si="4"/>
        <v>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ht="20.100000000000001" customHeight="1" x14ac:dyDescent="0.2">
      <c r="A46" s="11">
        <v>35</v>
      </c>
      <c r="B46" s="12"/>
      <c r="C46" s="62"/>
      <c r="D46" s="1" t="str">
        <f t="shared" si="5"/>
        <v xml:space="preserve">, </v>
      </c>
      <c r="E46" s="1">
        <f t="shared" si="3"/>
        <v>35</v>
      </c>
      <c r="F46" s="19"/>
      <c r="G46" s="20"/>
      <c r="H46" s="20"/>
      <c r="I46" s="85">
        <f t="shared" si="1"/>
        <v>0</v>
      </c>
      <c r="J46" s="23">
        <f t="shared" si="2"/>
        <v>0</v>
      </c>
      <c r="K46" s="28"/>
      <c r="L46" s="27">
        <f t="shared" si="4"/>
        <v>0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ht="20.100000000000001" customHeight="1" x14ac:dyDescent="0.2">
      <c r="A47" s="9">
        <v>36</v>
      </c>
      <c r="B47" s="10"/>
      <c r="C47" s="61"/>
      <c r="D47" s="1" t="str">
        <f t="shared" si="5"/>
        <v xml:space="preserve">, </v>
      </c>
      <c r="E47" s="1">
        <f t="shared" si="3"/>
        <v>36</v>
      </c>
      <c r="F47" s="17"/>
      <c r="G47" s="18"/>
      <c r="H47" s="18"/>
      <c r="I47" s="85">
        <f t="shared" si="1"/>
        <v>0</v>
      </c>
      <c r="J47" s="23">
        <f t="shared" si="2"/>
        <v>0</v>
      </c>
      <c r="K47" s="26"/>
      <c r="L47" s="27">
        <f t="shared" si="4"/>
        <v>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20.100000000000001" customHeight="1" x14ac:dyDescent="0.2">
      <c r="A48" s="7">
        <v>37</v>
      </c>
      <c r="B48" s="8"/>
      <c r="C48" s="62"/>
      <c r="D48" s="1" t="str">
        <f t="shared" si="5"/>
        <v xml:space="preserve">, </v>
      </c>
      <c r="E48" s="1">
        <f t="shared" si="3"/>
        <v>37</v>
      </c>
      <c r="F48" s="15"/>
      <c r="G48" s="16"/>
      <c r="H48" s="16"/>
      <c r="I48" s="85">
        <f t="shared" si="1"/>
        <v>0</v>
      </c>
      <c r="J48" s="23">
        <f t="shared" si="2"/>
        <v>0</v>
      </c>
      <c r="K48" s="24"/>
      <c r="L48" s="25">
        <f t="shared" si="4"/>
        <v>0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ht="20.100000000000001" customHeight="1" x14ac:dyDescent="0.2">
      <c r="A49" s="9">
        <v>38</v>
      </c>
      <c r="B49" s="10"/>
      <c r="C49" s="61"/>
      <c r="D49" s="1" t="str">
        <f t="shared" si="5"/>
        <v xml:space="preserve">, </v>
      </c>
      <c r="E49" s="1">
        <f t="shared" si="3"/>
        <v>38</v>
      </c>
      <c r="F49" s="17"/>
      <c r="G49" s="18"/>
      <c r="H49" s="18"/>
      <c r="I49" s="85">
        <f t="shared" si="1"/>
        <v>0</v>
      </c>
      <c r="J49" s="23">
        <f t="shared" si="2"/>
        <v>0</v>
      </c>
      <c r="K49" s="26"/>
      <c r="L49" s="27">
        <f t="shared" si="4"/>
        <v>0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20.100000000000001" customHeight="1" x14ac:dyDescent="0.2">
      <c r="A50" s="11">
        <v>39</v>
      </c>
      <c r="B50" s="12"/>
      <c r="C50" s="62"/>
      <c r="D50" s="1" t="str">
        <f t="shared" si="5"/>
        <v xml:space="preserve">, </v>
      </c>
      <c r="E50" s="1">
        <f t="shared" si="3"/>
        <v>39</v>
      </c>
      <c r="F50" s="19"/>
      <c r="G50" s="20"/>
      <c r="H50" s="20"/>
      <c r="I50" s="85">
        <f t="shared" si="1"/>
        <v>0</v>
      </c>
      <c r="J50" s="23">
        <f t="shared" si="2"/>
        <v>0</v>
      </c>
      <c r="K50" s="28"/>
      <c r="L50" s="27">
        <f t="shared" ref="L50:L57" si="7">J50-K50</f>
        <v>0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ht="20.100000000000001" customHeight="1" x14ac:dyDescent="0.2">
      <c r="A51" s="9">
        <v>40</v>
      </c>
      <c r="B51" s="10"/>
      <c r="C51" s="61"/>
      <c r="D51" s="1" t="str">
        <f t="shared" si="5"/>
        <v xml:space="preserve">, </v>
      </c>
      <c r="E51" s="1">
        <f t="shared" si="3"/>
        <v>40</v>
      </c>
      <c r="F51" s="17"/>
      <c r="G51" s="18"/>
      <c r="H51" s="18"/>
      <c r="I51" s="85">
        <f t="shared" si="1"/>
        <v>0</v>
      </c>
      <c r="J51" s="23">
        <f t="shared" si="2"/>
        <v>0</v>
      </c>
      <c r="K51" s="26"/>
      <c r="L51" s="27">
        <f t="shared" si="7"/>
        <v>0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20.100000000000001" customHeight="1" x14ac:dyDescent="0.2">
      <c r="A52" s="7">
        <v>41</v>
      </c>
      <c r="B52" s="8"/>
      <c r="C52" s="62"/>
      <c r="D52" s="1" t="str">
        <f t="shared" si="5"/>
        <v xml:space="preserve">, </v>
      </c>
      <c r="E52" s="1">
        <f t="shared" si="3"/>
        <v>41</v>
      </c>
      <c r="F52" s="15"/>
      <c r="G52" s="16"/>
      <c r="H52" s="16"/>
      <c r="I52" s="85">
        <f t="shared" si="1"/>
        <v>0</v>
      </c>
      <c r="J52" s="23">
        <f t="shared" si="2"/>
        <v>0</v>
      </c>
      <c r="K52" s="24"/>
      <c r="L52" s="25">
        <f t="shared" si="7"/>
        <v>0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ht="20.100000000000001" customHeight="1" x14ac:dyDescent="0.2">
      <c r="A53" s="9">
        <v>42</v>
      </c>
      <c r="B53" s="10"/>
      <c r="C53" s="61"/>
      <c r="D53" s="1" t="str">
        <f t="shared" si="5"/>
        <v xml:space="preserve">, </v>
      </c>
      <c r="E53" s="1">
        <f t="shared" si="3"/>
        <v>42</v>
      </c>
      <c r="F53" s="17"/>
      <c r="G53" s="18"/>
      <c r="H53" s="18"/>
      <c r="I53" s="85">
        <f t="shared" si="1"/>
        <v>0</v>
      </c>
      <c r="J53" s="23">
        <f t="shared" si="2"/>
        <v>0</v>
      </c>
      <c r="K53" s="26"/>
      <c r="L53" s="27">
        <f t="shared" si="7"/>
        <v>0</v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ht="20.100000000000001" customHeight="1" x14ac:dyDescent="0.2">
      <c r="A54" s="11">
        <v>43</v>
      </c>
      <c r="B54" s="12"/>
      <c r="C54" s="62"/>
      <c r="D54" s="1" t="str">
        <f t="shared" si="5"/>
        <v xml:space="preserve">, </v>
      </c>
      <c r="E54" s="1">
        <f t="shared" si="3"/>
        <v>43</v>
      </c>
      <c r="F54" s="19"/>
      <c r="G54" s="20"/>
      <c r="H54" s="20"/>
      <c r="I54" s="85">
        <f t="shared" si="1"/>
        <v>0</v>
      </c>
      <c r="J54" s="23">
        <f t="shared" si="2"/>
        <v>0</v>
      </c>
      <c r="K54" s="28"/>
      <c r="L54" s="27">
        <f t="shared" si="7"/>
        <v>0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ht="20.100000000000001" customHeight="1" x14ac:dyDescent="0.2">
      <c r="A55" s="9">
        <v>44</v>
      </c>
      <c r="B55" s="10"/>
      <c r="C55" s="61"/>
      <c r="D55" s="1" t="str">
        <f t="shared" si="5"/>
        <v xml:space="preserve">, </v>
      </c>
      <c r="E55" s="1">
        <f t="shared" si="3"/>
        <v>44</v>
      </c>
      <c r="F55" s="17"/>
      <c r="G55" s="18"/>
      <c r="H55" s="18"/>
      <c r="I55" s="85">
        <f t="shared" si="1"/>
        <v>0</v>
      </c>
      <c r="J55" s="23">
        <f t="shared" si="2"/>
        <v>0</v>
      </c>
      <c r="K55" s="26"/>
      <c r="L55" s="27">
        <f t="shared" si="7"/>
        <v>0</v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ht="20.100000000000001" customHeight="1" x14ac:dyDescent="0.2">
      <c r="A56" s="7">
        <v>45</v>
      </c>
      <c r="B56" s="8"/>
      <c r="C56" s="62"/>
      <c r="D56" s="1" t="str">
        <f t="shared" si="5"/>
        <v xml:space="preserve">, </v>
      </c>
      <c r="E56" s="1">
        <f t="shared" si="3"/>
        <v>45</v>
      </c>
      <c r="F56" s="15"/>
      <c r="G56" s="16"/>
      <c r="H56" s="16"/>
      <c r="I56" s="85">
        <f t="shared" si="1"/>
        <v>0</v>
      </c>
      <c r="J56" s="23">
        <f t="shared" si="2"/>
        <v>0</v>
      </c>
      <c r="K56" s="24"/>
      <c r="L56" s="25">
        <f t="shared" si="7"/>
        <v>0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ht="20.100000000000001" customHeight="1" x14ac:dyDescent="0.2">
      <c r="A57" s="9">
        <v>46</v>
      </c>
      <c r="B57" s="10"/>
      <c r="C57" s="61"/>
      <c r="D57" s="1" t="str">
        <f t="shared" si="5"/>
        <v xml:space="preserve">, </v>
      </c>
      <c r="E57" s="1">
        <f t="shared" si="3"/>
        <v>46</v>
      </c>
      <c r="F57" s="17"/>
      <c r="G57" s="18"/>
      <c r="H57" s="18"/>
      <c r="I57" s="85">
        <f t="shared" si="1"/>
        <v>0</v>
      </c>
      <c r="J57" s="23">
        <f t="shared" si="2"/>
        <v>0</v>
      </c>
      <c r="K57" s="26"/>
      <c r="L57" s="27">
        <f t="shared" si="7"/>
        <v>0</v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ht="20.100000000000001" customHeight="1" x14ac:dyDescent="0.2">
      <c r="A58" s="11">
        <v>47</v>
      </c>
      <c r="B58" s="12"/>
      <c r="C58" s="62"/>
      <c r="D58" s="1" t="str">
        <f t="shared" si="5"/>
        <v xml:space="preserve">, </v>
      </c>
      <c r="E58" s="1">
        <f t="shared" si="3"/>
        <v>47</v>
      </c>
      <c r="F58" s="19"/>
      <c r="G58" s="20"/>
      <c r="H58" s="20"/>
      <c r="I58" s="85">
        <f t="shared" si="1"/>
        <v>0</v>
      </c>
      <c r="J58" s="23">
        <f t="shared" si="2"/>
        <v>0</v>
      </c>
      <c r="K58" s="28"/>
      <c r="L58" s="27">
        <f t="shared" ref="L58:L67" si="8">J58-K58</f>
        <v>0</v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ht="20.100000000000001" customHeight="1" x14ac:dyDescent="0.2">
      <c r="A59" s="9">
        <v>48</v>
      </c>
      <c r="B59" s="10"/>
      <c r="C59" s="61"/>
      <c r="D59" s="1" t="str">
        <f t="shared" si="5"/>
        <v xml:space="preserve">, </v>
      </c>
      <c r="E59" s="1">
        <f t="shared" si="3"/>
        <v>48</v>
      </c>
      <c r="F59" s="17"/>
      <c r="G59" s="18"/>
      <c r="H59" s="18"/>
      <c r="I59" s="85">
        <f t="shared" si="1"/>
        <v>0</v>
      </c>
      <c r="J59" s="23">
        <f t="shared" si="2"/>
        <v>0</v>
      </c>
      <c r="K59" s="26"/>
      <c r="L59" s="27">
        <f t="shared" si="8"/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20.100000000000001" customHeight="1" x14ac:dyDescent="0.2">
      <c r="A60" s="7">
        <v>49</v>
      </c>
      <c r="B60" s="8"/>
      <c r="C60" s="62"/>
      <c r="D60" s="1" t="str">
        <f t="shared" si="5"/>
        <v xml:space="preserve">, </v>
      </c>
      <c r="E60" s="1">
        <f t="shared" si="3"/>
        <v>49</v>
      </c>
      <c r="F60" s="15"/>
      <c r="G60" s="16"/>
      <c r="H60" s="16"/>
      <c r="I60" s="85">
        <f t="shared" si="1"/>
        <v>0</v>
      </c>
      <c r="J60" s="23">
        <f t="shared" si="2"/>
        <v>0</v>
      </c>
      <c r="K60" s="24"/>
      <c r="L60" s="25">
        <f t="shared" si="8"/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20.100000000000001" customHeight="1" x14ac:dyDescent="0.2">
      <c r="A61" s="9">
        <v>50</v>
      </c>
      <c r="B61" s="10"/>
      <c r="C61" s="61"/>
      <c r="D61" s="1" t="str">
        <f t="shared" si="5"/>
        <v xml:space="preserve">, </v>
      </c>
      <c r="E61" s="1">
        <f t="shared" si="3"/>
        <v>50</v>
      </c>
      <c r="F61" s="17"/>
      <c r="G61" s="18"/>
      <c r="H61" s="18"/>
      <c r="I61" s="85">
        <f t="shared" si="1"/>
        <v>0</v>
      </c>
      <c r="J61" s="23">
        <f t="shared" si="2"/>
        <v>0</v>
      </c>
      <c r="K61" s="26"/>
      <c r="L61" s="27">
        <f t="shared" si="8"/>
        <v>0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ht="20.100000000000001" customHeight="1" x14ac:dyDescent="0.2">
      <c r="A62" s="11">
        <v>51</v>
      </c>
      <c r="B62" s="12"/>
      <c r="C62" s="62"/>
      <c r="D62" s="1" t="str">
        <f t="shared" si="5"/>
        <v xml:space="preserve">, </v>
      </c>
      <c r="E62" s="1">
        <f t="shared" si="3"/>
        <v>51</v>
      </c>
      <c r="F62" s="19"/>
      <c r="G62" s="20"/>
      <c r="H62" s="20"/>
      <c r="I62" s="85">
        <f t="shared" si="1"/>
        <v>0</v>
      </c>
      <c r="J62" s="23">
        <f t="shared" si="2"/>
        <v>0</v>
      </c>
      <c r="K62" s="28"/>
      <c r="L62" s="27">
        <f t="shared" si="8"/>
        <v>0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ht="20.100000000000001" customHeight="1" x14ac:dyDescent="0.2">
      <c r="A63" s="9">
        <v>52</v>
      </c>
      <c r="B63" s="10"/>
      <c r="C63" s="61"/>
      <c r="D63" s="1" t="str">
        <f t="shared" si="5"/>
        <v xml:space="preserve">, </v>
      </c>
      <c r="E63" s="1">
        <f t="shared" si="3"/>
        <v>52</v>
      </c>
      <c r="F63" s="17"/>
      <c r="G63" s="18"/>
      <c r="H63" s="18"/>
      <c r="I63" s="85">
        <f t="shared" si="1"/>
        <v>0</v>
      </c>
      <c r="J63" s="23">
        <f t="shared" si="2"/>
        <v>0</v>
      </c>
      <c r="K63" s="26"/>
      <c r="L63" s="27">
        <f t="shared" si="8"/>
        <v>0</v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ht="20.100000000000001" customHeight="1" x14ac:dyDescent="0.2">
      <c r="A64" s="7">
        <v>53</v>
      </c>
      <c r="B64" s="8"/>
      <c r="C64" s="62"/>
      <c r="D64" s="1" t="str">
        <f t="shared" si="5"/>
        <v xml:space="preserve">, </v>
      </c>
      <c r="E64" s="1">
        <f t="shared" si="3"/>
        <v>53</v>
      </c>
      <c r="F64" s="15"/>
      <c r="G64" s="16"/>
      <c r="H64" s="16"/>
      <c r="I64" s="85">
        <f t="shared" si="1"/>
        <v>0</v>
      </c>
      <c r="J64" s="23">
        <f t="shared" si="2"/>
        <v>0</v>
      </c>
      <c r="K64" s="24"/>
      <c r="L64" s="25">
        <f t="shared" si="8"/>
        <v>0</v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20.100000000000001" customHeight="1" x14ac:dyDescent="0.2">
      <c r="A65" s="9">
        <v>54</v>
      </c>
      <c r="B65" s="10"/>
      <c r="C65" s="61"/>
      <c r="D65" s="1" t="str">
        <f t="shared" si="5"/>
        <v xml:space="preserve">, </v>
      </c>
      <c r="E65" s="1">
        <f t="shared" si="3"/>
        <v>54</v>
      </c>
      <c r="F65" s="17"/>
      <c r="G65" s="18"/>
      <c r="H65" s="18"/>
      <c r="I65" s="85">
        <f t="shared" si="1"/>
        <v>0</v>
      </c>
      <c r="J65" s="23">
        <f t="shared" si="2"/>
        <v>0</v>
      </c>
      <c r="K65" s="26"/>
      <c r="L65" s="27">
        <f t="shared" si="8"/>
        <v>0</v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20.100000000000001" customHeight="1" x14ac:dyDescent="0.2">
      <c r="A66" s="11">
        <v>55</v>
      </c>
      <c r="B66" s="12"/>
      <c r="C66" s="62"/>
      <c r="D66" s="1" t="str">
        <f t="shared" si="5"/>
        <v xml:space="preserve">, </v>
      </c>
      <c r="E66" s="1">
        <f t="shared" si="3"/>
        <v>55</v>
      </c>
      <c r="F66" s="19"/>
      <c r="G66" s="20"/>
      <c r="H66" s="20"/>
      <c r="I66" s="85">
        <f t="shared" si="1"/>
        <v>0</v>
      </c>
      <c r="J66" s="23">
        <f t="shared" si="2"/>
        <v>0</v>
      </c>
      <c r="K66" s="28"/>
      <c r="L66" s="27">
        <f t="shared" si="8"/>
        <v>0</v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ht="20.100000000000001" customHeight="1" x14ac:dyDescent="0.2">
      <c r="A67" s="9">
        <v>56</v>
      </c>
      <c r="B67" s="10"/>
      <c r="C67" s="61"/>
      <c r="D67" s="1" t="str">
        <f t="shared" si="5"/>
        <v xml:space="preserve">, </v>
      </c>
      <c r="E67" s="1">
        <f t="shared" si="3"/>
        <v>56</v>
      </c>
      <c r="F67" s="17"/>
      <c r="G67" s="18"/>
      <c r="H67" s="18"/>
      <c r="I67" s="85">
        <f t="shared" si="1"/>
        <v>0</v>
      </c>
      <c r="J67" s="23">
        <f t="shared" si="2"/>
        <v>0</v>
      </c>
      <c r="K67" s="26"/>
      <c r="L67" s="27">
        <f t="shared" si="8"/>
        <v>0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ht="20.100000000000001" customHeight="1" x14ac:dyDescent="0.2">
      <c r="A68" s="7">
        <v>57</v>
      </c>
      <c r="B68" s="8"/>
      <c r="C68" s="62"/>
      <c r="D68" s="1" t="str">
        <f t="shared" si="5"/>
        <v xml:space="preserve">, </v>
      </c>
      <c r="E68" s="1">
        <f t="shared" si="3"/>
        <v>57</v>
      </c>
      <c r="F68" s="15"/>
      <c r="G68" s="16"/>
      <c r="H68" s="16"/>
      <c r="I68" s="85">
        <f t="shared" si="1"/>
        <v>0</v>
      </c>
      <c r="J68" s="23">
        <f t="shared" si="2"/>
        <v>0</v>
      </c>
      <c r="K68" s="24"/>
      <c r="L68" s="25">
        <f t="shared" ref="L68:L131" si="9">J68-K68</f>
        <v>0</v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ht="20.100000000000001" customHeight="1" x14ac:dyDescent="0.2">
      <c r="A69" s="9">
        <v>58</v>
      </c>
      <c r="B69" s="10"/>
      <c r="C69" s="61"/>
      <c r="D69" s="1" t="str">
        <f t="shared" si="5"/>
        <v xml:space="preserve">, </v>
      </c>
      <c r="E69" s="1">
        <f t="shared" si="3"/>
        <v>58</v>
      </c>
      <c r="F69" s="17"/>
      <c r="G69" s="18"/>
      <c r="H69" s="18"/>
      <c r="I69" s="85">
        <f t="shared" si="1"/>
        <v>0</v>
      </c>
      <c r="J69" s="23">
        <f t="shared" si="2"/>
        <v>0</v>
      </c>
      <c r="K69" s="26"/>
      <c r="L69" s="27">
        <f t="shared" si="9"/>
        <v>0</v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ht="20.100000000000001" customHeight="1" x14ac:dyDescent="0.2">
      <c r="A70" s="11">
        <v>59</v>
      </c>
      <c r="B70" s="12"/>
      <c r="C70" s="62"/>
      <c r="D70" s="1" t="str">
        <f t="shared" si="5"/>
        <v xml:space="preserve">, </v>
      </c>
      <c r="E70" s="1">
        <f t="shared" si="3"/>
        <v>59</v>
      </c>
      <c r="F70" s="19"/>
      <c r="G70" s="20"/>
      <c r="H70" s="20"/>
      <c r="I70" s="85">
        <f t="shared" si="1"/>
        <v>0</v>
      </c>
      <c r="J70" s="23">
        <f t="shared" si="2"/>
        <v>0</v>
      </c>
      <c r="K70" s="28"/>
      <c r="L70" s="27">
        <f t="shared" si="9"/>
        <v>0</v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ht="20.100000000000001" customHeight="1" x14ac:dyDescent="0.2">
      <c r="A71" s="9">
        <v>60</v>
      </c>
      <c r="B71" s="10"/>
      <c r="C71" s="61"/>
      <c r="D71" s="1" t="str">
        <f t="shared" si="5"/>
        <v xml:space="preserve">, </v>
      </c>
      <c r="E71" s="1">
        <f t="shared" si="3"/>
        <v>60</v>
      </c>
      <c r="F71" s="17"/>
      <c r="G71" s="18"/>
      <c r="H71" s="18"/>
      <c r="I71" s="85">
        <f t="shared" si="1"/>
        <v>0</v>
      </c>
      <c r="J71" s="23">
        <f t="shared" si="2"/>
        <v>0</v>
      </c>
      <c r="K71" s="26"/>
      <c r="L71" s="27">
        <f t="shared" si="9"/>
        <v>0</v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ht="20.100000000000001" customHeight="1" x14ac:dyDescent="0.2">
      <c r="A72" s="7">
        <v>61</v>
      </c>
      <c r="B72" s="8"/>
      <c r="C72" s="62"/>
      <c r="D72" s="1" t="str">
        <f t="shared" si="5"/>
        <v xml:space="preserve">, </v>
      </c>
      <c r="E72" s="1">
        <f t="shared" si="3"/>
        <v>61</v>
      </c>
      <c r="F72" s="15"/>
      <c r="G72" s="16"/>
      <c r="H72" s="16"/>
      <c r="I72" s="85">
        <f t="shared" si="1"/>
        <v>0</v>
      </c>
      <c r="J72" s="23">
        <f t="shared" si="2"/>
        <v>0</v>
      </c>
      <c r="K72" s="24"/>
      <c r="L72" s="25">
        <f t="shared" si="9"/>
        <v>0</v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ht="20.100000000000001" customHeight="1" x14ac:dyDescent="0.2">
      <c r="A73" s="9">
        <v>62</v>
      </c>
      <c r="B73" s="10"/>
      <c r="C73" s="61"/>
      <c r="D73" s="1" t="str">
        <f t="shared" si="5"/>
        <v xml:space="preserve">, </v>
      </c>
      <c r="E73" s="1">
        <f t="shared" si="3"/>
        <v>62</v>
      </c>
      <c r="F73" s="17"/>
      <c r="G73" s="18"/>
      <c r="H73" s="18"/>
      <c r="I73" s="85">
        <f t="shared" si="1"/>
        <v>0</v>
      </c>
      <c r="J73" s="23">
        <f t="shared" si="2"/>
        <v>0</v>
      </c>
      <c r="K73" s="26"/>
      <c r="L73" s="27">
        <f t="shared" si="9"/>
        <v>0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ht="20.100000000000001" customHeight="1" x14ac:dyDescent="0.2">
      <c r="A74" s="11">
        <v>63</v>
      </c>
      <c r="B74" s="12"/>
      <c r="C74" s="62"/>
      <c r="D74" s="1" t="str">
        <f t="shared" si="5"/>
        <v xml:space="preserve">, </v>
      </c>
      <c r="E74" s="1">
        <f t="shared" si="3"/>
        <v>63</v>
      </c>
      <c r="F74" s="19"/>
      <c r="G74" s="20"/>
      <c r="H74" s="20"/>
      <c r="I74" s="85">
        <f t="shared" si="1"/>
        <v>0</v>
      </c>
      <c r="J74" s="23">
        <f t="shared" si="2"/>
        <v>0</v>
      </c>
      <c r="K74" s="28"/>
      <c r="L74" s="27">
        <f t="shared" si="9"/>
        <v>0</v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ht="20.100000000000001" customHeight="1" x14ac:dyDescent="0.2">
      <c r="A75" s="9">
        <v>64</v>
      </c>
      <c r="B75" s="10"/>
      <c r="C75" s="61"/>
      <c r="D75" s="1" t="str">
        <f t="shared" si="5"/>
        <v xml:space="preserve">, </v>
      </c>
      <c r="E75" s="1">
        <f t="shared" si="3"/>
        <v>64</v>
      </c>
      <c r="F75" s="17"/>
      <c r="G75" s="18"/>
      <c r="H75" s="18"/>
      <c r="I75" s="85">
        <f t="shared" si="1"/>
        <v>0</v>
      </c>
      <c r="J75" s="23">
        <f t="shared" si="2"/>
        <v>0</v>
      </c>
      <c r="K75" s="26"/>
      <c r="L75" s="27">
        <f t="shared" si="9"/>
        <v>0</v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ht="20.100000000000001" customHeight="1" x14ac:dyDescent="0.2">
      <c r="A76" s="7">
        <v>65</v>
      </c>
      <c r="B76" s="8"/>
      <c r="C76" s="62"/>
      <c r="D76" s="1" t="str">
        <f t="shared" si="5"/>
        <v xml:space="preserve">, </v>
      </c>
      <c r="E76" s="1">
        <f t="shared" si="3"/>
        <v>65</v>
      </c>
      <c r="F76" s="15"/>
      <c r="G76" s="16"/>
      <c r="H76" s="16"/>
      <c r="I76" s="85">
        <f t="shared" ref="I76:I139" si="10">SUM(F76:H76)</f>
        <v>0</v>
      </c>
      <c r="J76" s="23">
        <f t="shared" ref="J76:J139" si="11">IFERROR(I76*$F$3,0)</f>
        <v>0</v>
      </c>
      <c r="K76" s="24"/>
      <c r="L76" s="25">
        <f t="shared" si="9"/>
        <v>0</v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ht="20.100000000000001" customHeight="1" x14ac:dyDescent="0.2">
      <c r="A77" s="9">
        <v>66</v>
      </c>
      <c r="B77" s="10"/>
      <c r="C77" s="61"/>
      <c r="D77" s="1" t="str">
        <f t="shared" ref="D77:D140" si="12">CONCATENATE(C77,", ",B77)</f>
        <v xml:space="preserve">, </v>
      </c>
      <c r="E77" s="1">
        <f t="shared" ref="E77:E140" si="13">A77</f>
        <v>66</v>
      </c>
      <c r="F77" s="17"/>
      <c r="G77" s="18"/>
      <c r="H77" s="18"/>
      <c r="I77" s="85">
        <f t="shared" si="10"/>
        <v>0</v>
      </c>
      <c r="J77" s="23">
        <f t="shared" si="11"/>
        <v>0</v>
      </c>
      <c r="K77" s="26"/>
      <c r="L77" s="27">
        <f t="shared" si="9"/>
        <v>0</v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ht="20.100000000000001" customHeight="1" x14ac:dyDescent="0.2">
      <c r="A78" s="11">
        <v>67</v>
      </c>
      <c r="B78" s="12"/>
      <c r="C78" s="62"/>
      <c r="D78" s="1" t="str">
        <f t="shared" si="12"/>
        <v xml:space="preserve">, </v>
      </c>
      <c r="E78" s="1">
        <f t="shared" si="13"/>
        <v>67</v>
      </c>
      <c r="F78" s="19"/>
      <c r="G78" s="20"/>
      <c r="H78" s="20"/>
      <c r="I78" s="85">
        <f t="shared" si="10"/>
        <v>0</v>
      </c>
      <c r="J78" s="23">
        <f t="shared" si="11"/>
        <v>0</v>
      </c>
      <c r="K78" s="28"/>
      <c r="L78" s="27">
        <f t="shared" si="9"/>
        <v>0</v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ht="20.100000000000001" customHeight="1" x14ac:dyDescent="0.2">
      <c r="A79" s="9">
        <v>68</v>
      </c>
      <c r="B79" s="10"/>
      <c r="C79" s="61"/>
      <c r="D79" s="1" t="str">
        <f t="shared" si="12"/>
        <v xml:space="preserve">, </v>
      </c>
      <c r="E79" s="1">
        <f t="shared" si="13"/>
        <v>68</v>
      </c>
      <c r="F79" s="17"/>
      <c r="G79" s="18"/>
      <c r="H79" s="18"/>
      <c r="I79" s="85">
        <f t="shared" si="10"/>
        <v>0</v>
      </c>
      <c r="J79" s="23">
        <f t="shared" si="11"/>
        <v>0</v>
      </c>
      <c r="K79" s="26"/>
      <c r="L79" s="27">
        <f t="shared" si="9"/>
        <v>0</v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ht="20.100000000000001" customHeight="1" x14ac:dyDescent="0.2">
      <c r="A80" s="7">
        <v>69</v>
      </c>
      <c r="B80" s="8"/>
      <c r="C80" s="62"/>
      <c r="D80" s="1" t="str">
        <f t="shared" si="12"/>
        <v xml:space="preserve">, </v>
      </c>
      <c r="E80" s="1">
        <f t="shared" si="13"/>
        <v>69</v>
      </c>
      <c r="F80" s="15"/>
      <c r="G80" s="16"/>
      <c r="H80" s="16"/>
      <c r="I80" s="85">
        <f t="shared" si="10"/>
        <v>0</v>
      </c>
      <c r="J80" s="23">
        <f t="shared" si="11"/>
        <v>0</v>
      </c>
      <c r="K80" s="24"/>
      <c r="L80" s="25">
        <f t="shared" si="9"/>
        <v>0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ht="20.100000000000001" customHeight="1" x14ac:dyDescent="0.2">
      <c r="A81" s="9">
        <v>70</v>
      </c>
      <c r="B81" s="10"/>
      <c r="C81" s="61"/>
      <c r="D81" s="1" t="str">
        <f t="shared" si="12"/>
        <v xml:space="preserve">, </v>
      </c>
      <c r="E81" s="1">
        <f t="shared" si="13"/>
        <v>70</v>
      </c>
      <c r="F81" s="17"/>
      <c r="G81" s="18"/>
      <c r="H81" s="18"/>
      <c r="I81" s="85">
        <f t="shared" si="10"/>
        <v>0</v>
      </c>
      <c r="J81" s="23">
        <f t="shared" si="11"/>
        <v>0</v>
      </c>
      <c r="K81" s="26"/>
      <c r="L81" s="27">
        <f t="shared" si="9"/>
        <v>0</v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ht="20.100000000000001" customHeight="1" x14ac:dyDescent="0.2">
      <c r="A82" s="11">
        <v>71</v>
      </c>
      <c r="B82" s="12"/>
      <c r="C82" s="62"/>
      <c r="D82" s="1" t="str">
        <f t="shared" si="12"/>
        <v xml:space="preserve">, </v>
      </c>
      <c r="E82" s="1">
        <f t="shared" si="13"/>
        <v>71</v>
      </c>
      <c r="F82" s="19"/>
      <c r="G82" s="20"/>
      <c r="H82" s="20"/>
      <c r="I82" s="85">
        <f t="shared" si="10"/>
        <v>0</v>
      </c>
      <c r="J82" s="23">
        <f t="shared" si="11"/>
        <v>0</v>
      </c>
      <c r="K82" s="28"/>
      <c r="L82" s="27">
        <f t="shared" si="9"/>
        <v>0</v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ht="20.100000000000001" customHeight="1" x14ac:dyDescent="0.2">
      <c r="A83" s="9">
        <v>72</v>
      </c>
      <c r="B83" s="10"/>
      <c r="C83" s="61"/>
      <c r="D83" s="1" t="str">
        <f t="shared" si="12"/>
        <v xml:space="preserve">, </v>
      </c>
      <c r="E83" s="1">
        <f t="shared" si="13"/>
        <v>72</v>
      </c>
      <c r="F83" s="17"/>
      <c r="G83" s="18"/>
      <c r="H83" s="18"/>
      <c r="I83" s="85">
        <f t="shared" si="10"/>
        <v>0</v>
      </c>
      <c r="J83" s="23">
        <f t="shared" si="11"/>
        <v>0</v>
      </c>
      <c r="K83" s="26"/>
      <c r="L83" s="27">
        <f t="shared" si="9"/>
        <v>0</v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ht="20.100000000000001" customHeight="1" x14ac:dyDescent="0.2">
      <c r="A84" s="7">
        <v>73</v>
      </c>
      <c r="B84" s="8"/>
      <c r="C84" s="62"/>
      <c r="D84" s="1" t="str">
        <f t="shared" si="12"/>
        <v xml:space="preserve">, </v>
      </c>
      <c r="E84" s="1">
        <f t="shared" si="13"/>
        <v>73</v>
      </c>
      <c r="F84" s="15"/>
      <c r="G84" s="16"/>
      <c r="H84" s="16"/>
      <c r="I84" s="85">
        <f t="shared" si="10"/>
        <v>0</v>
      </c>
      <c r="J84" s="23">
        <f t="shared" si="11"/>
        <v>0</v>
      </c>
      <c r="K84" s="24"/>
      <c r="L84" s="25">
        <f t="shared" si="9"/>
        <v>0</v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ht="20.100000000000001" customHeight="1" x14ac:dyDescent="0.2">
      <c r="A85" s="9">
        <v>74</v>
      </c>
      <c r="B85" s="10"/>
      <c r="C85" s="61"/>
      <c r="D85" s="1" t="str">
        <f t="shared" si="12"/>
        <v xml:space="preserve">, </v>
      </c>
      <c r="E85" s="1">
        <f t="shared" si="13"/>
        <v>74</v>
      </c>
      <c r="F85" s="17"/>
      <c r="G85" s="18"/>
      <c r="H85" s="18"/>
      <c r="I85" s="85">
        <f t="shared" si="10"/>
        <v>0</v>
      </c>
      <c r="J85" s="23">
        <f t="shared" si="11"/>
        <v>0</v>
      </c>
      <c r="K85" s="26"/>
      <c r="L85" s="27">
        <f t="shared" si="9"/>
        <v>0</v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ht="20.100000000000001" customHeight="1" x14ac:dyDescent="0.2">
      <c r="A86" s="11">
        <v>75</v>
      </c>
      <c r="B86" s="12"/>
      <c r="C86" s="62"/>
      <c r="D86" s="1" t="str">
        <f t="shared" si="12"/>
        <v xml:space="preserve">, </v>
      </c>
      <c r="E86" s="1">
        <f t="shared" si="13"/>
        <v>75</v>
      </c>
      <c r="F86" s="19"/>
      <c r="G86" s="20"/>
      <c r="H86" s="20"/>
      <c r="I86" s="85">
        <f t="shared" si="10"/>
        <v>0</v>
      </c>
      <c r="J86" s="23">
        <f t="shared" si="11"/>
        <v>0</v>
      </c>
      <c r="K86" s="28"/>
      <c r="L86" s="27">
        <f t="shared" si="9"/>
        <v>0</v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ht="20.100000000000001" customHeight="1" x14ac:dyDescent="0.2">
      <c r="A87" s="9">
        <v>76</v>
      </c>
      <c r="B87" s="10"/>
      <c r="C87" s="61"/>
      <c r="D87" s="1" t="str">
        <f t="shared" si="12"/>
        <v xml:space="preserve">, </v>
      </c>
      <c r="E87" s="1">
        <f t="shared" si="13"/>
        <v>76</v>
      </c>
      <c r="F87" s="17"/>
      <c r="G87" s="18"/>
      <c r="H87" s="18"/>
      <c r="I87" s="85">
        <f t="shared" si="10"/>
        <v>0</v>
      </c>
      <c r="J87" s="23">
        <f t="shared" si="11"/>
        <v>0</v>
      </c>
      <c r="K87" s="26"/>
      <c r="L87" s="27">
        <f t="shared" si="9"/>
        <v>0</v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ht="20.100000000000001" customHeight="1" x14ac:dyDescent="0.2">
      <c r="A88" s="7">
        <v>77</v>
      </c>
      <c r="B88" s="8"/>
      <c r="C88" s="62"/>
      <c r="D88" s="1" t="str">
        <f t="shared" si="12"/>
        <v xml:space="preserve">, </v>
      </c>
      <c r="E88" s="1">
        <f t="shared" si="13"/>
        <v>77</v>
      </c>
      <c r="F88" s="15"/>
      <c r="G88" s="16"/>
      <c r="H88" s="16"/>
      <c r="I88" s="85">
        <f t="shared" si="10"/>
        <v>0</v>
      </c>
      <c r="J88" s="23">
        <f t="shared" si="11"/>
        <v>0</v>
      </c>
      <c r="K88" s="24"/>
      <c r="L88" s="25">
        <f t="shared" si="9"/>
        <v>0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ht="20.100000000000001" customHeight="1" x14ac:dyDescent="0.2">
      <c r="A89" s="9">
        <v>78</v>
      </c>
      <c r="B89" s="10"/>
      <c r="C89" s="61"/>
      <c r="D89" s="1" t="str">
        <f t="shared" si="12"/>
        <v xml:space="preserve">, </v>
      </c>
      <c r="E89" s="1">
        <f t="shared" si="13"/>
        <v>78</v>
      </c>
      <c r="F89" s="17"/>
      <c r="G89" s="18"/>
      <c r="H89" s="18"/>
      <c r="I89" s="85">
        <f t="shared" si="10"/>
        <v>0</v>
      </c>
      <c r="J89" s="23">
        <f t="shared" si="11"/>
        <v>0</v>
      </c>
      <c r="K89" s="26"/>
      <c r="L89" s="27">
        <f t="shared" si="9"/>
        <v>0</v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ht="20.100000000000001" customHeight="1" x14ac:dyDescent="0.2">
      <c r="A90" s="11">
        <v>79</v>
      </c>
      <c r="B90" s="12"/>
      <c r="C90" s="62"/>
      <c r="D90" s="1" t="str">
        <f t="shared" si="12"/>
        <v xml:space="preserve">, </v>
      </c>
      <c r="E90" s="1">
        <f t="shared" si="13"/>
        <v>79</v>
      </c>
      <c r="F90" s="19"/>
      <c r="G90" s="20"/>
      <c r="H90" s="20"/>
      <c r="I90" s="85">
        <f t="shared" si="10"/>
        <v>0</v>
      </c>
      <c r="J90" s="23">
        <f t="shared" si="11"/>
        <v>0</v>
      </c>
      <c r="K90" s="28"/>
      <c r="L90" s="27">
        <f t="shared" si="9"/>
        <v>0</v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ht="20.100000000000001" customHeight="1" x14ac:dyDescent="0.2">
      <c r="A91" s="9">
        <v>80</v>
      </c>
      <c r="B91" s="10"/>
      <c r="C91" s="61"/>
      <c r="D91" s="1" t="str">
        <f t="shared" si="12"/>
        <v xml:space="preserve">, </v>
      </c>
      <c r="E91" s="1">
        <f t="shared" si="13"/>
        <v>80</v>
      </c>
      <c r="F91" s="17"/>
      <c r="G91" s="18"/>
      <c r="H91" s="18"/>
      <c r="I91" s="85">
        <f t="shared" si="10"/>
        <v>0</v>
      </c>
      <c r="J91" s="23">
        <f t="shared" si="11"/>
        <v>0</v>
      </c>
      <c r="K91" s="26"/>
      <c r="L91" s="27">
        <f t="shared" si="9"/>
        <v>0</v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ht="20.100000000000001" customHeight="1" x14ac:dyDescent="0.2">
      <c r="A92" s="7">
        <v>81</v>
      </c>
      <c r="B92" s="8"/>
      <c r="C92" s="62"/>
      <c r="D92" s="1" t="str">
        <f t="shared" si="12"/>
        <v xml:space="preserve">, </v>
      </c>
      <c r="E92" s="1">
        <f t="shared" si="13"/>
        <v>81</v>
      </c>
      <c r="F92" s="15"/>
      <c r="G92" s="16"/>
      <c r="H92" s="16"/>
      <c r="I92" s="85">
        <f t="shared" si="10"/>
        <v>0</v>
      </c>
      <c r="J92" s="23">
        <f t="shared" si="11"/>
        <v>0</v>
      </c>
      <c r="K92" s="24"/>
      <c r="L92" s="25">
        <f t="shared" si="9"/>
        <v>0</v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ht="20.100000000000001" customHeight="1" x14ac:dyDescent="0.2">
      <c r="A93" s="9">
        <v>82</v>
      </c>
      <c r="B93" s="10"/>
      <c r="C93" s="61"/>
      <c r="D93" s="1" t="str">
        <f t="shared" si="12"/>
        <v xml:space="preserve">, </v>
      </c>
      <c r="E93" s="1">
        <f t="shared" si="13"/>
        <v>82</v>
      </c>
      <c r="F93" s="17"/>
      <c r="G93" s="18"/>
      <c r="H93" s="18"/>
      <c r="I93" s="85">
        <f t="shared" si="10"/>
        <v>0</v>
      </c>
      <c r="J93" s="23">
        <f t="shared" si="11"/>
        <v>0</v>
      </c>
      <c r="K93" s="26"/>
      <c r="L93" s="27">
        <f t="shared" si="9"/>
        <v>0</v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ht="20.100000000000001" customHeight="1" x14ac:dyDescent="0.2">
      <c r="A94" s="11">
        <v>83</v>
      </c>
      <c r="B94" s="12"/>
      <c r="C94" s="62"/>
      <c r="D94" s="1" t="str">
        <f t="shared" si="12"/>
        <v xml:space="preserve">, </v>
      </c>
      <c r="E94" s="1">
        <f t="shared" si="13"/>
        <v>83</v>
      </c>
      <c r="F94" s="19"/>
      <c r="G94" s="20"/>
      <c r="H94" s="20"/>
      <c r="I94" s="85">
        <f t="shared" si="10"/>
        <v>0</v>
      </c>
      <c r="J94" s="23">
        <f t="shared" si="11"/>
        <v>0</v>
      </c>
      <c r="K94" s="28"/>
      <c r="L94" s="27">
        <f t="shared" si="9"/>
        <v>0</v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ht="20.100000000000001" customHeight="1" x14ac:dyDescent="0.2">
      <c r="A95" s="9">
        <v>84</v>
      </c>
      <c r="B95" s="10"/>
      <c r="C95" s="61"/>
      <c r="D95" s="1" t="str">
        <f t="shared" si="12"/>
        <v xml:space="preserve">, </v>
      </c>
      <c r="E95" s="1">
        <f t="shared" si="13"/>
        <v>84</v>
      </c>
      <c r="F95" s="17"/>
      <c r="G95" s="18"/>
      <c r="H95" s="18"/>
      <c r="I95" s="85">
        <f t="shared" si="10"/>
        <v>0</v>
      </c>
      <c r="J95" s="23">
        <f t="shared" si="11"/>
        <v>0</v>
      </c>
      <c r="K95" s="26"/>
      <c r="L95" s="27">
        <f t="shared" si="9"/>
        <v>0</v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ht="20.100000000000001" customHeight="1" x14ac:dyDescent="0.2">
      <c r="A96" s="7">
        <v>85</v>
      </c>
      <c r="B96" s="8"/>
      <c r="C96" s="62"/>
      <c r="D96" s="1" t="str">
        <f t="shared" si="12"/>
        <v xml:space="preserve">, </v>
      </c>
      <c r="E96" s="1">
        <f t="shared" si="13"/>
        <v>85</v>
      </c>
      <c r="F96" s="15"/>
      <c r="G96" s="16"/>
      <c r="H96" s="16"/>
      <c r="I96" s="85">
        <f t="shared" si="10"/>
        <v>0</v>
      </c>
      <c r="J96" s="23">
        <f t="shared" si="11"/>
        <v>0</v>
      </c>
      <c r="K96" s="24"/>
      <c r="L96" s="25">
        <f t="shared" si="9"/>
        <v>0</v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ht="20.100000000000001" customHeight="1" x14ac:dyDescent="0.2">
      <c r="A97" s="9">
        <v>86</v>
      </c>
      <c r="B97" s="10"/>
      <c r="C97" s="61"/>
      <c r="D97" s="1" t="str">
        <f t="shared" si="12"/>
        <v xml:space="preserve">, </v>
      </c>
      <c r="E97" s="1">
        <f t="shared" si="13"/>
        <v>86</v>
      </c>
      <c r="F97" s="17"/>
      <c r="G97" s="18"/>
      <c r="H97" s="18"/>
      <c r="I97" s="85">
        <f t="shared" si="10"/>
        <v>0</v>
      </c>
      <c r="J97" s="23">
        <f t="shared" si="11"/>
        <v>0</v>
      </c>
      <c r="K97" s="26"/>
      <c r="L97" s="27">
        <f t="shared" si="9"/>
        <v>0</v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ht="20.100000000000001" customHeight="1" x14ac:dyDescent="0.2">
      <c r="A98" s="11">
        <v>87</v>
      </c>
      <c r="B98" s="12"/>
      <c r="C98" s="62"/>
      <c r="D98" s="1" t="str">
        <f t="shared" si="12"/>
        <v xml:space="preserve">, </v>
      </c>
      <c r="E98" s="1">
        <f t="shared" si="13"/>
        <v>87</v>
      </c>
      <c r="F98" s="19"/>
      <c r="G98" s="20"/>
      <c r="H98" s="20"/>
      <c r="I98" s="85">
        <f t="shared" si="10"/>
        <v>0</v>
      </c>
      <c r="J98" s="23">
        <f t="shared" si="11"/>
        <v>0</v>
      </c>
      <c r="K98" s="28"/>
      <c r="L98" s="27">
        <f t="shared" si="9"/>
        <v>0</v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ht="20.100000000000001" customHeight="1" x14ac:dyDescent="0.2">
      <c r="A99" s="9">
        <v>88</v>
      </c>
      <c r="B99" s="10"/>
      <c r="C99" s="61"/>
      <c r="D99" s="1" t="str">
        <f t="shared" si="12"/>
        <v xml:space="preserve">, </v>
      </c>
      <c r="E99" s="1">
        <f t="shared" si="13"/>
        <v>88</v>
      </c>
      <c r="F99" s="17"/>
      <c r="G99" s="18"/>
      <c r="H99" s="18"/>
      <c r="I99" s="85">
        <f t="shared" si="10"/>
        <v>0</v>
      </c>
      <c r="J99" s="23">
        <f t="shared" si="11"/>
        <v>0</v>
      </c>
      <c r="K99" s="26"/>
      <c r="L99" s="27">
        <f t="shared" si="9"/>
        <v>0</v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ht="20.100000000000001" customHeight="1" x14ac:dyDescent="0.2">
      <c r="A100" s="7">
        <v>89</v>
      </c>
      <c r="B100" s="8"/>
      <c r="C100" s="62"/>
      <c r="D100" s="1" t="str">
        <f t="shared" si="12"/>
        <v xml:space="preserve">, </v>
      </c>
      <c r="E100" s="1">
        <f t="shared" si="13"/>
        <v>89</v>
      </c>
      <c r="F100" s="15"/>
      <c r="G100" s="16"/>
      <c r="H100" s="16"/>
      <c r="I100" s="85">
        <f t="shared" si="10"/>
        <v>0</v>
      </c>
      <c r="J100" s="23">
        <f t="shared" si="11"/>
        <v>0</v>
      </c>
      <c r="K100" s="24"/>
      <c r="L100" s="25">
        <f t="shared" si="9"/>
        <v>0</v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ht="20.100000000000001" customHeight="1" x14ac:dyDescent="0.2">
      <c r="A101" s="9">
        <v>90</v>
      </c>
      <c r="B101" s="10"/>
      <c r="C101" s="61"/>
      <c r="D101" s="1" t="str">
        <f t="shared" si="12"/>
        <v xml:space="preserve">, </v>
      </c>
      <c r="E101" s="1">
        <f t="shared" si="13"/>
        <v>90</v>
      </c>
      <c r="F101" s="17"/>
      <c r="G101" s="18"/>
      <c r="H101" s="18"/>
      <c r="I101" s="85">
        <f t="shared" si="10"/>
        <v>0</v>
      </c>
      <c r="J101" s="23">
        <f t="shared" si="11"/>
        <v>0</v>
      </c>
      <c r="K101" s="26"/>
      <c r="L101" s="27">
        <f t="shared" si="9"/>
        <v>0</v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ht="20.100000000000001" customHeight="1" x14ac:dyDescent="0.2">
      <c r="A102" s="11">
        <v>91</v>
      </c>
      <c r="B102" s="12"/>
      <c r="C102" s="62"/>
      <c r="D102" s="1" t="str">
        <f t="shared" si="12"/>
        <v xml:space="preserve">, </v>
      </c>
      <c r="E102" s="1">
        <f t="shared" si="13"/>
        <v>91</v>
      </c>
      <c r="F102" s="19"/>
      <c r="G102" s="20"/>
      <c r="H102" s="20"/>
      <c r="I102" s="85">
        <f t="shared" si="10"/>
        <v>0</v>
      </c>
      <c r="J102" s="23">
        <f t="shared" si="11"/>
        <v>0</v>
      </c>
      <c r="K102" s="28"/>
      <c r="L102" s="27">
        <f t="shared" si="9"/>
        <v>0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ht="20.100000000000001" customHeight="1" x14ac:dyDescent="0.2">
      <c r="A103" s="9">
        <v>92</v>
      </c>
      <c r="B103" s="10"/>
      <c r="C103" s="61"/>
      <c r="D103" s="1" t="str">
        <f t="shared" si="12"/>
        <v xml:space="preserve">, </v>
      </c>
      <c r="E103" s="1">
        <f t="shared" si="13"/>
        <v>92</v>
      </c>
      <c r="F103" s="17"/>
      <c r="G103" s="18"/>
      <c r="H103" s="18"/>
      <c r="I103" s="85">
        <f t="shared" si="10"/>
        <v>0</v>
      </c>
      <c r="J103" s="23">
        <f t="shared" si="11"/>
        <v>0</v>
      </c>
      <c r="K103" s="26"/>
      <c r="L103" s="27">
        <f t="shared" si="9"/>
        <v>0</v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 ht="20.100000000000001" customHeight="1" x14ac:dyDescent="0.2">
      <c r="A104" s="7">
        <v>93</v>
      </c>
      <c r="B104" s="8"/>
      <c r="C104" s="62"/>
      <c r="D104" s="1" t="str">
        <f t="shared" si="12"/>
        <v xml:space="preserve">, </v>
      </c>
      <c r="E104" s="1">
        <f t="shared" si="13"/>
        <v>93</v>
      </c>
      <c r="F104" s="15"/>
      <c r="G104" s="16"/>
      <c r="H104" s="16"/>
      <c r="I104" s="85">
        <f t="shared" si="10"/>
        <v>0</v>
      </c>
      <c r="J104" s="23">
        <f t="shared" si="11"/>
        <v>0</v>
      </c>
      <c r="K104" s="24"/>
      <c r="L104" s="25">
        <f t="shared" si="9"/>
        <v>0</v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ht="20.100000000000001" customHeight="1" x14ac:dyDescent="0.2">
      <c r="A105" s="9">
        <v>94</v>
      </c>
      <c r="B105" s="10"/>
      <c r="C105" s="61"/>
      <c r="D105" s="1" t="str">
        <f t="shared" si="12"/>
        <v xml:space="preserve">, </v>
      </c>
      <c r="E105" s="1">
        <f t="shared" si="13"/>
        <v>94</v>
      </c>
      <c r="F105" s="17"/>
      <c r="G105" s="18"/>
      <c r="H105" s="18"/>
      <c r="I105" s="85">
        <f t="shared" si="10"/>
        <v>0</v>
      </c>
      <c r="J105" s="23">
        <f t="shared" si="11"/>
        <v>0</v>
      </c>
      <c r="K105" s="26"/>
      <c r="L105" s="27">
        <f t="shared" si="9"/>
        <v>0</v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ht="20.100000000000001" customHeight="1" x14ac:dyDescent="0.2">
      <c r="A106" s="11">
        <v>95</v>
      </c>
      <c r="B106" s="12"/>
      <c r="C106" s="62"/>
      <c r="D106" s="1" t="str">
        <f t="shared" si="12"/>
        <v xml:space="preserve">, </v>
      </c>
      <c r="E106" s="1">
        <f t="shared" si="13"/>
        <v>95</v>
      </c>
      <c r="F106" s="19"/>
      <c r="G106" s="20"/>
      <c r="H106" s="20"/>
      <c r="I106" s="85">
        <f t="shared" si="10"/>
        <v>0</v>
      </c>
      <c r="J106" s="23">
        <f t="shared" si="11"/>
        <v>0</v>
      </c>
      <c r="K106" s="28"/>
      <c r="L106" s="27">
        <f t="shared" si="9"/>
        <v>0</v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ht="20.100000000000001" customHeight="1" x14ac:dyDescent="0.2">
      <c r="A107" s="9">
        <v>96</v>
      </c>
      <c r="B107" s="10"/>
      <c r="C107" s="61"/>
      <c r="D107" s="1" t="str">
        <f t="shared" si="12"/>
        <v xml:space="preserve">, </v>
      </c>
      <c r="E107" s="1">
        <f t="shared" si="13"/>
        <v>96</v>
      </c>
      <c r="F107" s="17"/>
      <c r="G107" s="18"/>
      <c r="H107" s="18"/>
      <c r="I107" s="85">
        <f t="shared" si="10"/>
        <v>0</v>
      </c>
      <c r="J107" s="23">
        <f t="shared" si="11"/>
        <v>0</v>
      </c>
      <c r="K107" s="26"/>
      <c r="L107" s="27">
        <f t="shared" si="9"/>
        <v>0</v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ht="20.100000000000001" customHeight="1" x14ac:dyDescent="0.2">
      <c r="A108" s="7">
        <v>97</v>
      </c>
      <c r="B108" s="8"/>
      <c r="C108" s="62"/>
      <c r="D108" s="1" t="str">
        <f t="shared" si="12"/>
        <v xml:space="preserve">, </v>
      </c>
      <c r="E108" s="1">
        <f t="shared" si="13"/>
        <v>97</v>
      </c>
      <c r="F108" s="15"/>
      <c r="G108" s="16"/>
      <c r="H108" s="16"/>
      <c r="I108" s="85">
        <f t="shared" si="10"/>
        <v>0</v>
      </c>
      <c r="J108" s="23">
        <f t="shared" si="11"/>
        <v>0</v>
      </c>
      <c r="K108" s="24"/>
      <c r="L108" s="25">
        <f t="shared" si="9"/>
        <v>0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ht="20.100000000000001" customHeight="1" x14ac:dyDescent="0.2">
      <c r="A109" s="9">
        <v>98</v>
      </c>
      <c r="B109" s="10"/>
      <c r="C109" s="61"/>
      <c r="D109" s="1" t="str">
        <f t="shared" si="12"/>
        <v xml:space="preserve">, </v>
      </c>
      <c r="E109" s="1">
        <f t="shared" si="13"/>
        <v>98</v>
      </c>
      <c r="F109" s="17"/>
      <c r="G109" s="18"/>
      <c r="H109" s="18"/>
      <c r="I109" s="85">
        <f t="shared" si="10"/>
        <v>0</v>
      </c>
      <c r="J109" s="23">
        <f t="shared" si="11"/>
        <v>0</v>
      </c>
      <c r="K109" s="26"/>
      <c r="L109" s="27">
        <f t="shared" si="9"/>
        <v>0</v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ht="20.100000000000001" customHeight="1" x14ac:dyDescent="0.2">
      <c r="A110" s="11">
        <v>99</v>
      </c>
      <c r="B110" s="12"/>
      <c r="C110" s="62"/>
      <c r="D110" s="1" t="str">
        <f t="shared" si="12"/>
        <v xml:space="preserve">, </v>
      </c>
      <c r="E110" s="1">
        <f t="shared" si="13"/>
        <v>99</v>
      </c>
      <c r="F110" s="19"/>
      <c r="G110" s="20"/>
      <c r="H110" s="20"/>
      <c r="I110" s="85">
        <f t="shared" si="10"/>
        <v>0</v>
      </c>
      <c r="J110" s="23">
        <f t="shared" si="11"/>
        <v>0</v>
      </c>
      <c r="K110" s="28"/>
      <c r="L110" s="27">
        <f t="shared" si="9"/>
        <v>0</v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ht="20.100000000000001" customHeight="1" x14ac:dyDescent="0.2">
      <c r="A111" s="9">
        <v>100</v>
      </c>
      <c r="B111" s="10"/>
      <c r="C111" s="61"/>
      <c r="D111" s="1" t="str">
        <f t="shared" si="12"/>
        <v xml:space="preserve">, </v>
      </c>
      <c r="E111" s="1">
        <f t="shared" si="13"/>
        <v>100</v>
      </c>
      <c r="F111" s="17"/>
      <c r="G111" s="18"/>
      <c r="H111" s="18"/>
      <c r="I111" s="85">
        <f t="shared" si="10"/>
        <v>0</v>
      </c>
      <c r="J111" s="23">
        <f t="shared" si="11"/>
        <v>0</v>
      </c>
      <c r="K111" s="26"/>
      <c r="L111" s="27">
        <f t="shared" si="9"/>
        <v>0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ht="20.100000000000001" customHeight="1" x14ac:dyDescent="0.2">
      <c r="A112" s="7">
        <v>101</v>
      </c>
      <c r="B112" s="8"/>
      <c r="C112" s="62"/>
      <c r="D112" s="1" t="str">
        <f t="shared" si="12"/>
        <v xml:space="preserve">, </v>
      </c>
      <c r="E112" s="1">
        <f t="shared" si="13"/>
        <v>101</v>
      </c>
      <c r="F112" s="15"/>
      <c r="G112" s="16"/>
      <c r="H112" s="16"/>
      <c r="I112" s="85">
        <f t="shared" si="10"/>
        <v>0</v>
      </c>
      <c r="J112" s="23">
        <f t="shared" si="11"/>
        <v>0</v>
      </c>
      <c r="K112" s="24"/>
      <c r="L112" s="25">
        <f t="shared" si="9"/>
        <v>0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ht="20.100000000000001" customHeight="1" x14ac:dyDescent="0.2">
      <c r="A113" s="9">
        <v>102</v>
      </c>
      <c r="B113" s="10"/>
      <c r="C113" s="61"/>
      <c r="D113" s="1" t="str">
        <f t="shared" si="12"/>
        <v xml:space="preserve">, </v>
      </c>
      <c r="E113" s="1">
        <f t="shared" si="13"/>
        <v>102</v>
      </c>
      <c r="F113" s="17"/>
      <c r="G113" s="18"/>
      <c r="H113" s="18"/>
      <c r="I113" s="85">
        <f t="shared" si="10"/>
        <v>0</v>
      </c>
      <c r="J113" s="23">
        <f t="shared" si="11"/>
        <v>0</v>
      </c>
      <c r="K113" s="26"/>
      <c r="L113" s="27">
        <f t="shared" si="9"/>
        <v>0</v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ht="20.100000000000001" customHeight="1" x14ac:dyDescent="0.2">
      <c r="A114" s="11">
        <v>103</v>
      </c>
      <c r="B114" s="12"/>
      <c r="C114" s="62"/>
      <c r="D114" s="1" t="str">
        <f t="shared" si="12"/>
        <v xml:space="preserve">, </v>
      </c>
      <c r="E114" s="1">
        <f t="shared" si="13"/>
        <v>103</v>
      </c>
      <c r="F114" s="19"/>
      <c r="G114" s="20"/>
      <c r="H114" s="20"/>
      <c r="I114" s="85">
        <f t="shared" si="10"/>
        <v>0</v>
      </c>
      <c r="J114" s="23">
        <f t="shared" si="11"/>
        <v>0</v>
      </c>
      <c r="K114" s="28"/>
      <c r="L114" s="27">
        <f t="shared" si="9"/>
        <v>0</v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ht="20.100000000000001" customHeight="1" x14ac:dyDescent="0.2">
      <c r="A115" s="9">
        <v>104</v>
      </c>
      <c r="B115" s="10"/>
      <c r="C115" s="61"/>
      <c r="D115" s="1" t="str">
        <f t="shared" si="12"/>
        <v xml:space="preserve">, </v>
      </c>
      <c r="E115" s="1">
        <f t="shared" si="13"/>
        <v>104</v>
      </c>
      <c r="F115" s="17"/>
      <c r="G115" s="18"/>
      <c r="H115" s="18"/>
      <c r="I115" s="85">
        <f t="shared" si="10"/>
        <v>0</v>
      </c>
      <c r="J115" s="23">
        <f t="shared" si="11"/>
        <v>0</v>
      </c>
      <c r="K115" s="26"/>
      <c r="L115" s="27">
        <f t="shared" si="9"/>
        <v>0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ht="20.100000000000001" customHeight="1" x14ac:dyDescent="0.2">
      <c r="A116" s="7">
        <v>105</v>
      </c>
      <c r="B116" s="8"/>
      <c r="C116" s="62"/>
      <c r="D116" s="1" t="str">
        <f t="shared" si="12"/>
        <v xml:space="preserve">, </v>
      </c>
      <c r="E116" s="1">
        <f t="shared" si="13"/>
        <v>105</v>
      </c>
      <c r="F116" s="15"/>
      <c r="G116" s="16"/>
      <c r="H116" s="16"/>
      <c r="I116" s="85">
        <f t="shared" si="10"/>
        <v>0</v>
      </c>
      <c r="J116" s="23">
        <f t="shared" si="11"/>
        <v>0</v>
      </c>
      <c r="K116" s="24"/>
      <c r="L116" s="25">
        <f t="shared" si="9"/>
        <v>0</v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:23" ht="20.100000000000001" customHeight="1" x14ac:dyDescent="0.2">
      <c r="A117" s="9">
        <v>106</v>
      </c>
      <c r="B117" s="10"/>
      <c r="C117" s="61"/>
      <c r="D117" s="1" t="str">
        <f t="shared" si="12"/>
        <v xml:space="preserve">, </v>
      </c>
      <c r="E117" s="1">
        <f t="shared" si="13"/>
        <v>106</v>
      </c>
      <c r="F117" s="17"/>
      <c r="G117" s="18"/>
      <c r="H117" s="18"/>
      <c r="I117" s="85">
        <f t="shared" si="10"/>
        <v>0</v>
      </c>
      <c r="J117" s="23">
        <f t="shared" si="11"/>
        <v>0</v>
      </c>
      <c r="K117" s="26"/>
      <c r="L117" s="27">
        <f t="shared" si="9"/>
        <v>0</v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:23" ht="20.100000000000001" customHeight="1" x14ac:dyDescent="0.2">
      <c r="A118" s="11">
        <v>107</v>
      </c>
      <c r="B118" s="12"/>
      <c r="C118" s="62"/>
      <c r="D118" s="1" t="str">
        <f t="shared" si="12"/>
        <v xml:space="preserve">, </v>
      </c>
      <c r="E118" s="1">
        <f t="shared" si="13"/>
        <v>107</v>
      </c>
      <c r="F118" s="19"/>
      <c r="G118" s="20"/>
      <c r="H118" s="20"/>
      <c r="I118" s="85">
        <f t="shared" si="10"/>
        <v>0</v>
      </c>
      <c r="J118" s="23">
        <f t="shared" si="11"/>
        <v>0</v>
      </c>
      <c r="K118" s="28"/>
      <c r="L118" s="27">
        <f t="shared" si="9"/>
        <v>0</v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:23" ht="20.100000000000001" customHeight="1" x14ac:dyDescent="0.2">
      <c r="A119" s="9">
        <v>108</v>
      </c>
      <c r="B119" s="10"/>
      <c r="C119" s="61"/>
      <c r="D119" s="1" t="str">
        <f t="shared" si="12"/>
        <v xml:space="preserve">, </v>
      </c>
      <c r="E119" s="1">
        <f t="shared" si="13"/>
        <v>108</v>
      </c>
      <c r="F119" s="17"/>
      <c r="G119" s="18"/>
      <c r="H119" s="18"/>
      <c r="I119" s="85">
        <f t="shared" si="10"/>
        <v>0</v>
      </c>
      <c r="J119" s="23">
        <f t="shared" si="11"/>
        <v>0</v>
      </c>
      <c r="K119" s="26"/>
      <c r="L119" s="27">
        <f t="shared" si="9"/>
        <v>0</v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ht="20.100000000000001" customHeight="1" x14ac:dyDescent="0.2">
      <c r="A120" s="7">
        <v>109</v>
      </c>
      <c r="B120" s="8"/>
      <c r="C120" s="62"/>
      <c r="D120" s="1" t="str">
        <f t="shared" si="12"/>
        <v xml:space="preserve">, </v>
      </c>
      <c r="E120" s="1">
        <f t="shared" si="13"/>
        <v>109</v>
      </c>
      <c r="F120" s="15"/>
      <c r="G120" s="16"/>
      <c r="H120" s="16"/>
      <c r="I120" s="85">
        <f t="shared" si="10"/>
        <v>0</v>
      </c>
      <c r="J120" s="23">
        <f t="shared" si="11"/>
        <v>0</v>
      </c>
      <c r="K120" s="24"/>
      <c r="L120" s="25">
        <f t="shared" si="9"/>
        <v>0</v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ht="20.100000000000001" customHeight="1" x14ac:dyDescent="0.2">
      <c r="A121" s="9">
        <v>110</v>
      </c>
      <c r="B121" s="10"/>
      <c r="C121" s="61"/>
      <c r="D121" s="1" t="str">
        <f t="shared" si="12"/>
        <v xml:space="preserve">, </v>
      </c>
      <c r="E121" s="1">
        <f t="shared" si="13"/>
        <v>110</v>
      </c>
      <c r="F121" s="17"/>
      <c r="G121" s="18"/>
      <c r="H121" s="18"/>
      <c r="I121" s="85">
        <f t="shared" si="10"/>
        <v>0</v>
      </c>
      <c r="J121" s="23">
        <f t="shared" si="11"/>
        <v>0</v>
      </c>
      <c r="K121" s="26"/>
      <c r="L121" s="27">
        <f t="shared" si="9"/>
        <v>0</v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ht="20.100000000000001" customHeight="1" x14ac:dyDescent="0.2">
      <c r="A122" s="11">
        <v>111</v>
      </c>
      <c r="B122" s="12"/>
      <c r="C122" s="62"/>
      <c r="D122" s="1" t="str">
        <f t="shared" si="12"/>
        <v xml:space="preserve">, </v>
      </c>
      <c r="E122" s="1">
        <f t="shared" si="13"/>
        <v>111</v>
      </c>
      <c r="F122" s="19"/>
      <c r="G122" s="20"/>
      <c r="H122" s="20"/>
      <c r="I122" s="85">
        <f t="shared" si="10"/>
        <v>0</v>
      </c>
      <c r="J122" s="23">
        <f t="shared" si="11"/>
        <v>0</v>
      </c>
      <c r="K122" s="28"/>
      <c r="L122" s="27">
        <f t="shared" si="9"/>
        <v>0</v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ht="20.100000000000001" customHeight="1" x14ac:dyDescent="0.2">
      <c r="A123" s="9">
        <v>112</v>
      </c>
      <c r="B123" s="10"/>
      <c r="C123" s="61"/>
      <c r="D123" s="1" t="str">
        <f t="shared" si="12"/>
        <v xml:space="preserve">, </v>
      </c>
      <c r="E123" s="1">
        <f t="shared" si="13"/>
        <v>112</v>
      </c>
      <c r="F123" s="17"/>
      <c r="G123" s="18"/>
      <c r="H123" s="18"/>
      <c r="I123" s="85">
        <f t="shared" si="10"/>
        <v>0</v>
      </c>
      <c r="J123" s="23">
        <f t="shared" si="11"/>
        <v>0</v>
      </c>
      <c r="K123" s="26"/>
      <c r="L123" s="27">
        <f t="shared" si="9"/>
        <v>0</v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ht="20.100000000000001" customHeight="1" x14ac:dyDescent="0.2">
      <c r="A124" s="7">
        <v>113</v>
      </c>
      <c r="B124" s="8"/>
      <c r="C124" s="62"/>
      <c r="D124" s="1" t="str">
        <f t="shared" si="12"/>
        <v xml:space="preserve">, </v>
      </c>
      <c r="E124" s="1">
        <f t="shared" si="13"/>
        <v>113</v>
      </c>
      <c r="F124" s="15"/>
      <c r="G124" s="16"/>
      <c r="H124" s="16"/>
      <c r="I124" s="85">
        <f t="shared" si="10"/>
        <v>0</v>
      </c>
      <c r="J124" s="23">
        <f t="shared" si="11"/>
        <v>0</v>
      </c>
      <c r="K124" s="24"/>
      <c r="L124" s="25">
        <f t="shared" si="9"/>
        <v>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ht="20.100000000000001" customHeight="1" x14ac:dyDescent="0.2">
      <c r="A125" s="9">
        <v>114</v>
      </c>
      <c r="B125" s="10"/>
      <c r="C125" s="61"/>
      <c r="D125" s="1" t="str">
        <f t="shared" si="12"/>
        <v xml:space="preserve">, </v>
      </c>
      <c r="E125" s="1">
        <f t="shared" si="13"/>
        <v>114</v>
      </c>
      <c r="F125" s="17"/>
      <c r="G125" s="18"/>
      <c r="H125" s="18"/>
      <c r="I125" s="85">
        <f t="shared" si="10"/>
        <v>0</v>
      </c>
      <c r="J125" s="23">
        <f t="shared" si="11"/>
        <v>0</v>
      </c>
      <c r="K125" s="26"/>
      <c r="L125" s="27">
        <f t="shared" si="9"/>
        <v>0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ht="20.100000000000001" customHeight="1" x14ac:dyDescent="0.2">
      <c r="A126" s="11">
        <v>115</v>
      </c>
      <c r="B126" s="12"/>
      <c r="C126" s="62"/>
      <c r="D126" s="1" t="str">
        <f t="shared" si="12"/>
        <v xml:space="preserve">, </v>
      </c>
      <c r="E126" s="1">
        <f t="shared" si="13"/>
        <v>115</v>
      </c>
      <c r="F126" s="19"/>
      <c r="G126" s="20"/>
      <c r="H126" s="20"/>
      <c r="I126" s="85">
        <f t="shared" si="10"/>
        <v>0</v>
      </c>
      <c r="J126" s="23">
        <f t="shared" si="11"/>
        <v>0</v>
      </c>
      <c r="K126" s="28"/>
      <c r="L126" s="27">
        <f t="shared" si="9"/>
        <v>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:23" ht="20.100000000000001" customHeight="1" x14ac:dyDescent="0.2">
      <c r="A127" s="9">
        <v>116</v>
      </c>
      <c r="B127" s="10"/>
      <c r="C127" s="61"/>
      <c r="D127" s="1" t="str">
        <f t="shared" si="12"/>
        <v xml:space="preserve">, </v>
      </c>
      <c r="E127" s="1">
        <f t="shared" si="13"/>
        <v>116</v>
      </c>
      <c r="F127" s="17"/>
      <c r="G127" s="18"/>
      <c r="H127" s="18"/>
      <c r="I127" s="85">
        <f t="shared" si="10"/>
        <v>0</v>
      </c>
      <c r="J127" s="23">
        <f t="shared" si="11"/>
        <v>0</v>
      </c>
      <c r="K127" s="26"/>
      <c r="L127" s="27">
        <f t="shared" si="9"/>
        <v>0</v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 ht="20.100000000000001" customHeight="1" x14ac:dyDescent="0.2">
      <c r="A128" s="7">
        <v>117</v>
      </c>
      <c r="B128" s="8"/>
      <c r="C128" s="62"/>
      <c r="D128" s="1" t="str">
        <f t="shared" si="12"/>
        <v xml:space="preserve">, </v>
      </c>
      <c r="E128" s="1">
        <f t="shared" si="13"/>
        <v>117</v>
      </c>
      <c r="F128" s="15"/>
      <c r="G128" s="16"/>
      <c r="H128" s="16"/>
      <c r="I128" s="85">
        <f t="shared" si="10"/>
        <v>0</v>
      </c>
      <c r="J128" s="23">
        <f t="shared" si="11"/>
        <v>0</v>
      </c>
      <c r="K128" s="24"/>
      <c r="L128" s="25">
        <f t="shared" si="9"/>
        <v>0</v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ht="20.100000000000001" customHeight="1" x14ac:dyDescent="0.2">
      <c r="A129" s="9">
        <v>118</v>
      </c>
      <c r="B129" s="10"/>
      <c r="C129" s="61"/>
      <c r="D129" s="1" t="str">
        <f t="shared" si="12"/>
        <v xml:space="preserve">, </v>
      </c>
      <c r="E129" s="1">
        <f t="shared" si="13"/>
        <v>118</v>
      </c>
      <c r="F129" s="17"/>
      <c r="G129" s="18"/>
      <c r="H129" s="18"/>
      <c r="I129" s="85">
        <f t="shared" si="10"/>
        <v>0</v>
      </c>
      <c r="J129" s="23">
        <f t="shared" si="11"/>
        <v>0</v>
      </c>
      <c r="K129" s="26"/>
      <c r="L129" s="27">
        <f t="shared" si="9"/>
        <v>0</v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ht="20.100000000000001" customHeight="1" x14ac:dyDescent="0.2">
      <c r="A130" s="11">
        <v>119</v>
      </c>
      <c r="B130" s="12"/>
      <c r="C130" s="62"/>
      <c r="D130" s="1" t="str">
        <f t="shared" si="12"/>
        <v xml:space="preserve">, </v>
      </c>
      <c r="E130" s="1">
        <f t="shared" si="13"/>
        <v>119</v>
      </c>
      <c r="F130" s="19"/>
      <c r="G130" s="20"/>
      <c r="H130" s="20"/>
      <c r="I130" s="85">
        <f t="shared" si="10"/>
        <v>0</v>
      </c>
      <c r="J130" s="23">
        <f t="shared" si="11"/>
        <v>0</v>
      </c>
      <c r="K130" s="28"/>
      <c r="L130" s="27">
        <f t="shared" si="9"/>
        <v>0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ht="20.100000000000001" customHeight="1" x14ac:dyDescent="0.2">
      <c r="A131" s="9">
        <v>120</v>
      </c>
      <c r="B131" s="10"/>
      <c r="C131" s="61"/>
      <c r="D131" s="1" t="str">
        <f t="shared" si="12"/>
        <v xml:space="preserve">, </v>
      </c>
      <c r="E131" s="1">
        <f t="shared" si="13"/>
        <v>120</v>
      </c>
      <c r="F131" s="17"/>
      <c r="G131" s="18"/>
      <c r="H131" s="18"/>
      <c r="I131" s="85">
        <f t="shared" si="10"/>
        <v>0</v>
      </c>
      <c r="J131" s="23">
        <f t="shared" si="11"/>
        <v>0</v>
      </c>
      <c r="K131" s="26"/>
      <c r="L131" s="27">
        <f t="shared" si="9"/>
        <v>0</v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ht="20.100000000000001" customHeight="1" x14ac:dyDescent="0.2">
      <c r="A132" s="7">
        <v>121</v>
      </c>
      <c r="B132" s="8"/>
      <c r="C132" s="62"/>
      <c r="D132" s="1" t="str">
        <f t="shared" si="12"/>
        <v xml:space="preserve">, </v>
      </c>
      <c r="E132" s="1">
        <f t="shared" si="13"/>
        <v>121</v>
      </c>
      <c r="F132" s="15"/>
      <c r="G132" s="16"/>
      <c r="H132" s="16"/>
      <c r="I132" s="85">
        <f t="shared" si="10"/>
        <v>0</v>
      </c>
      <c r="J132" s="23">
        <f t="shared" si="11"/>
        <v>0</v>
      </c>
      <c r="K132" s="24"/>
      <c r="L132" s="25">
        <f t="shared" ref="L132:L195" si="14">J132-K132</f>
        <v>0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ht="20.100000000000001" customHeight="1" x14ac:dyDescent="0.2">
      <c r="A133" s="9">
        <v>122</v>
      </c>
      <c r="B133" s="10"/>
      <c r="C133" s="61"/>
      <c r="D133" s="1" t="str">
        <f t="shared" si="12"/>
        <v xml:space="preserve">, </v>
      </c>
      <c r="E133" s="1">
        <f t="shared" si="13"/>
        <v>122</v>
      </c>
      <c r="F133" s="17"/>
      <c r="G133" s="18"/>
      <c r="H133" s="18"/>
      <c r="I133" s="85">
        <f t="shared" si="10"/>
        <v>0</v>
      </c>
      <c r="J133" s="23">
        <f t="shared" si="11"/>
        <v>0</v>
      </c>
      <c r="K133" s="26"/>
      <c r="L133" s="27">
        <f t="shared" si="14"/>
        <v>0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ht="20.100000000000001" customHeight="1" x14ac:dyDescent="0.2">
      <c r="A134" s="11">
        <v>123</v>
      </c>
      <c r="B134" s="12"/>
      <c r="C134" s="62"/>
      <c r="D134" s="1" t="str">
        <f t="shared" si="12"/>
        <v xml:space="preserve">, </v>
      </c>
      <c r="E134" s="1">
        <f t="shared" si="13"/>
        <v>123</v>
      </c>
      <c r="F134" s="19"/>
      <c r="G134" s="20"/>
      <c r="H134" s="20"/>
      <c r="I134" s="85">
        <f t="shared" si="10"/>
        <v>0</v>
      </c>
      <c r="J134" s="23">
        <f t="shared" si="11"/>
        <v>0</v>
      </c>
      <c r="K134" s="28"/>
      <c r="L134" s="27">
        <f t="shared" si="14"/>
        <v>0</v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ht="20.100000000000001" customHeight="1" x14ac:dyDescent="0.2">
      <c r="A135" s="9">
        <v>124</v>
      </c>
      <c r="B135" s="10"/>
      <c r="C135" s="61"/>
      <c r="D135" s="1" t="str">
        <f t="shared" si="12"/>
        <v xml:space="preserve">, </v>
      </c>
      <c r="E135" s="1">
        <f t="shared" si="13"/>
        <v>124</v>
      </c>
      <c r="F135" s="17"/>
      <c r="G135" s="18"/>
      <c r="H135" s="18"/>
      <c r="I135" s="85">
        <f t="shared" si="10"/>
        <v>0</v>
      </c>
      <c r="J135" s="23">
        <f t="shared" si="11"/>
        <v>0</v>
      </c>
      <c r="K135" s="26"/>
      <c r="L135" s="27">
        <f t="shared" si="14"/>
        <v>0</v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ht="20.100000000000001" customHeight="1" x14ac:dyDescent="0.2">
      <c r="A136" s="7">
        <v>125</v>
      </c>
      <c r="B136" s="8"/>
      <c r="C136" s="62"/>
      <c r="D136" s="1" t="str">
        <f t="shared" si="12"/>
        <v xml:space="preserve">, </v>
      </c>
      <c r="E136" s="1">
        <f t="shared" si="13"/>
        <v>125</v>
      </c>
      <c r="F136" s="15"/>
      <c r="G136" s="16"/>
      <c r="H136" s="16"/>
      <c r="I136" s="85">
        <f t="shared" si="10"/>
        <v>0</v>
      </c>
      <c r="J136" s="23">
        <f t="shared" si="11"/>
        <v>0</v>
      </c>
      <c r="K136" s="24"/>
      <c r="L136" s="25">
        <f t="shared" si="14"/>
        <v>0</v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ht="20.100000000000001" customHeight="1" x14ac:dyDescent="0.2">
      <c r="A137" s="9">
        <v>126</v>
      </c>
      <c r="B137" s="10"/>
      <c r="C137" s="61"/>
      <c r="D137" s="1" t="str">
        <f t="shared" si="12"/>
        <v xml:space="preserve">, </v>
      </c>
      <c r="E137" s="1">
        <f t="shared" si="13"/>
        <v>126</v>
      </c>
      <c r="F137" s="17"/>
      <c r="G137" s="18"/>
      <c r="H137" s="18"/>
      <c r="I137" s="85">
        <f t="shared" si="10"/>
        <v>0</v>
      </c>
      <c r="J137" s="23">
        <f t="shared" si="11"/>
        <v>0</v>
      </c>
      <c r="K137" s="26"/>
      <c r="L137" s="27">
        <f t="shared" si="14"/>
        <v>0</v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ht="20.100000000000001" customHeight="1" x14ac:dyDescent="0.2">
      <c r="A138" s="11">
        <v>127</v>
      </c>
      <c r="B138" s="12"/>
      <c r="C138" s="62"/>
      <c r="D138" s="1" t="str">
        <f t="shared" si="12"/>
        <v xml:space="preserve">, </v>
      </c>
      <c r="E138" s="1">
        <f t="shared" si="13"/>
        <v>127</v>
      </c>
      <c r="F138" s="19"/>
      <c r="G138" s="20"/>
      <c r="H138" s="20"/>
      <c r="I138" s="85">
        <f t="shared" si="10"/>
        <v>0</v>
      </c>
      <c r="J138" s="23">
        <f t="shared" si="11"/>
        <v>0</v>
      </c>
      <c r="K138" s="28"/>
      <c r="L138" s="27">
        <f t="shared" si="14"/>
        <v>0</v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ht="20.100000000000001" customHeight="1" x14ac:dyDescent="0.2">
      <c r="A139" s="9">
        <v>128</v>
      </c>
      <c r="B139" s="10"/>
      <c r="C139" s="61"/>
      <c r="D139" s="1" t="str">
        <f t="shared" si="12"/>
        <v xml:space="preserve">, </v>
      </c>
      <c r="E139" s="1">
        <f t="shared" si="13"/>
        <v>128</v>
      </c>
      <c r="F139" s="17"/>
      <c r="G139" s="18"/>
      <c r="H139" s="18"/>
      <c r="I139" s="85">
        <f t="shared" si="10"/>
        <v>0</v>
      </c>
      <c r="J139" s="23">
        <f t="shared" si="11"/>
        <v>0</v>
      </c>
      <c r="K139" s="26"/>
      <c r="L139" s="27">
        <f t="shared" si="14"/>
        <v>0</v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ht="20.100000000000001" customHeight="1" x14ac:dyDescent="0.2">
      <c r="A140" s="7">
        <v>129</v>
      </c>
      <c r="B140" s="8"/>
      <c r="C140" s="62"/>
      <c r="D140" s="1" t="str">
        <f t="shared" si="12"/>
        <v xml:space="preserve">, </v>
      </c>
      <c r="E140" s="1">
        <f t="shared" si="13"/>
        <v>129</v>
      </c>
      <c r="F140" s="15"/>
      <c r="G140" s="16"/>
      <c r="H140" s="16"/>
      <c r="I140" s="85">
        <f t="shared" ref="I140:I203" si="15">SUM(F140:H140)</f>
        <v>0</v>
      </c>
      <c r="J140" s="23">
        <f t="shared" ref="J140:J203" si="16">IFERROR(I140*$F$3,0)</f>
        <v>0</v>
      </c>
      <c r="K140" s="24"/>
      <c r="L140" s="25">
        <f t="shared" si="14"/>
        <v>0</v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ht="20.100000000000001" customHeight="1" x14ac:dyDescent="0.2">
      <c r="A141" s="9">
        <v>130</v>
      </c>
      <c r="B141" s="10"/>
      <c r="C141" s="61"/>
      <c r="D141" s="1" t="str">
        <f t="shared" ref="D141:D204" si="17">CONCATENATE(C141,", ",B141)</f>
        <v xml:space="preserve">, </v>
      </c>
      <c r="E141" s="1">
        <f t="shared" ref="E141:E204" si="18">A141</f>
        <v>130</v>
      </c>
      <c r="F141" s="17"/>
      <c r="G141" s="18"/>
      <c r="H141" s="18"/>
      <c r="I141" s="85">
        <f t="shared" si="15"/>
        <v>0</v>
      </c>
      <c r="J141" s="23">
        <f t="shared" si="16"/>
        <v>0</v>
      </c>
      <c r="K141" s="26"/>
      <c r="L141" s="27">
        <f t="shared" si="14"/>
        <v>0</v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 ht="20.100000000000001" customHeight="1" x14ac:dyDescent="0.2">
      <c r="A142" s="11">
        <v>131</v>
      </c>
      <c r="B142" s="12"/>
      <c r="C142" s="62"/>
      <c r="D142" s="1" t="str">
        <f t="shared" si="17"/>
        <v xml:space="preserve">, </v>
      </c>
      <c r="E142" s="1">
        <f t="shared" si="18"/>
        <v>131</v>
      </c>
      <c r="F142" s="19"/>
      <c r="G142" s="20"/>
      <c r="H142" s="20"/>
      <c r="I142" s="85">
        <f t="shared" si="15"/>
        <v>0</v>
      </c>
      <c r="J142" s="23">
        <f t="shared" si="16"/>
        <v>0</v>
      </c>
      <c r="K142" s="28"/>
      <c r="L142" s="27">
        <f t="shared" si="14"/>
        <v>0</v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 ht="20.100000000000001" customHeight="1" x14ac:dyDescent="0.2">
      <c r="A143" s="9">
        <v>132</v>
      </c>
      <c r="B143" s="10"/>
      <c r="C143" s="61"/>
      <c r="D143" s="1" t="str">
        <f t="shared" si="17"/>
        <v xml:space="preserve">, </v>
      </c>
      <c r="E143" s="1">
        <f t="shared" si="18"/>
        <v>132</v>
      </c>
      <c r="F143" s="17"/>
      <c r="G143" s="18"/>
      <c r="H143" s="18"/>
      <c r="I143" s="85">
        <f t="shared" si="15"/>
        <v>0</v>
      </c>
      <c r="J143" s="23">
        <f t="shared" si="16"/>
        <v>0</v>
      </c>
      <c r="K143" s="26"/>
      <c r="L143" s="27">
        <f t="shared" si="14"/>
        <v>0</v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ht="20.100000000000001" customHeight="1" x14ac:dyDescent="0.2">
      <c r="A144" s="7">
        <v>133</v>
      </c>
      <c r="B144" s="8"/>
      <c r="C144" s="62"/>
      <c r="D144" s="1" t="str">
        <f t="shared" si="17"/>
        <v xml:space="preserve">, </v>
      </c>
      <c r="E144" s="1">
        <f t="shared" si="18"/>
        <v>133</v>
      </c>
      <c r="F144" s="15"/>
      <c r="G144" s="16"/>
      <c r="H144" s="16"/>
      <c r="I144" s="85">
        <f t="shared" si="15"/>
        <v>0</v>
      </c>
      <c r="J144" s="23">
        <f t="shared" si="16"/>
        <v>0</v>
      </c>
      <c r="K144" s="24"/>
      <c r="L144" s="25">
        <f t="shared" si="14"/>
        <v>0</v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ht="20.100000000000001" customHeight="1" x14ac:dyDescent="0.2">
      <c r="A145" s="9">
        <v>134</v>
      </c>
      <c r="B145" s="10"/>
      <c r="C145" s="61"/>
      <c r="D145" s="1" t="str">
        <f t="shared" si="17"/>
        <v xml:space="preserve">, </v>
      </c>
      <c r="E145" s="1">
        <f t="shared" si="18"/>
        <v>134</v>
      </c>
      <c r="F145" s="17"/>
      <c r="G145" s="18"/>
      <c r="H145" s="18"/>
      <c r="I145" s="85">
        <f t="shared" si="15"/>
        <v>0</v>
      </c>
      <c r="J145" s="23">
        <f t="shared" si="16"/>
        <v>0</v>
      </c>
      <c r="K145" s="26"/>
      <c r="L145" s="27">
        <f t="shared" si="14"/>
        <v>0</v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ht="20.100000000000001" customHeight="1" x14ac:dyDescent="0.2">
      <c r="A146" s="11">
        <v>135</v>
      </c>
      <c r="B146" s="12"/>
      <c r="C146" s="62"/>
      <c r="D146" s="1" t="str">
        <f t="shared" si="17"/>
        <v xml:space="preserve">, </v>
      </c>
      <c r="E146" s="1">
        <f t="shared" si="18"/>
        <v>135</v>
      </c>
      <c r="F146" s="19"/>
      <c r="G146" s="20"/>
      <c r="H146" s="20"/>
      <c r="I146" s="85">
        <f t="shared" si="15"/>
        <v>0</v>
      </c>
      <c r="J146" s="23">
        <f t="shared" si="16"/>
        <v>0</v>
      </c>
      <c r="K146" s="28"/>
      <c r="L146" s="27">
        <f t="shared" si="14"/>
        <v>0</v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ht="20.100000000000001" customHeight="1" x14ac:dyDescent="0.2">
      <c r="A147" s="9">
        <v>136</v>
      </c>
      <c r="B147" s="10"/>
      <c r="C147" s="61"/>
      <c r="D147" s="1" t="str">
        <f t="shared" si="17"/>
        <v xml:space="preserve">, </v>
      </c>
      <c r="E147" s="1">
        <f t="shared" si="18"/>
        <v>136</v>
      </c>
      <c r="F147" s="17"/>
      <c r="G147" s="18"/>
      <c r="H147" s="18"/>
      <c r="I147" s="85">
        <f t="shared" si="15"/>
        <v>0</v>
      </c>
      <c r="J147" s="23">
        <f t="shared" si="16"/>
        <v>0</v>
      </c>
      <c r="K147" s="26"/>
      <c r="L147" s="27">
        <f t="shared" si="14"/>
        <v>0</v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ht="20.100000000000001" customHeight="1" x14ac:dyDescent="0.2">
      <c r="A148" s="7">
        <v>137</v>
      </c>
      <c r="B148" s="8"/>
      <c r="C148" s="62"/>
      <c r="D148" s="1" t="str">
        <f t="shared" si="17"/>
        <v xml:space="preserve">, </v>
      </c>
      <c r="E148" s="1">
        <f t="shared" si="18"/>
        <v>137</v>
      </c>
      <c r="F148" s="15"/>
      <c r="G148" s="16"/>
      <c r="H148" s="16"/>
      <c r="I148" s="85">
        <f t="shared" si="15"/>
        <v>0</v>
      </c>
      <c r="J148" s="23">
        <f t="shared" si="16"/>
        <v>0</v>
      </c>
      <c r="K148" s="24"/>
      <c r="L148" s="25">
        <f t="shared" si="14"/>
        <v>0</v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ht="20.100000000000001" customHeight="1" x14ac:dyDescent="0.2">
      <c r="A149" s="9">
        <v>138</v>
      </c>
      <c r="B149" s="10"/>
      <c r="C149" s="61"/>
      <c r="D149" s="1" t="str">
        <f t="shared" si="17"/>
        <v xml:space="preserve">, </v>
      </c>
      <c r="E149" s="1">
        <f t="shared" si="18"/>
        <v>138</v>
      </c>
      <c r="F149" s="17"/>
      <c r="G149" s="18"/>
      <c r="H149" s="18"/>
      <c r="I149" s="85">
        <f t="shared" si="15"/>
        <v>0</v>
      </c>
      <c r="J149" s="23">
        <f t="shared" si="16"/>
        <v>0</v>
      </c>
      <c r="K149" s="26"/>
      <c r="L149" s="27">
        <f t="shared" si="14"/>
        <v>0</v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:23" ht="20.100000000000001" customHeight="1" x14ac:dyDescent="0.2">
      <c r="A150" s="11">
        <v>139</v>
      </c>
      <c r="B150" s="12"/>
      <c r="C150" s="62"/>
      <c r="D150" s="1" t="str">
        <f t="shared" si="17"/>
        <v xml:space="preserve">, </v>
      </c>
      <c r="E150" s="1">
        <f t="shared" si="18"/>
        <v>139</v>
      </c>
      <c r="F150" s="19"/>
      <c r="G150" s="20"/>
      <c r="H150" s="20"/>
      <c r="I150" s="85">
        <f t="shared" si="15"/>
        <v>0</v>
      </c>
      <c r="J150" s="23">
        <f t="shared" si="16"/>
        <v>0</v>
      </c>
      <c r="K150" s="28"/>
      <c r="L150" s="27">
        <f t="shared" si="14"/>
        <v>0</v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:23" ht="20.100000000000001" customHeight="1" x14ac:dyDescent="0.2">
      <c r="A151" s="9">
        <v>140</v>
      </c>
      <c r="B151" s="10"/>
      <c r="C151" s="61"/>
      <c r="D151" s="1" t="str">
        <f t="shared" si="17"/>
        <v xml:space="preserve">, </v>
      </c>
      <c r="E151" s="1">
        <f t="shared" si="18"/>
        <v>140</v>
      </c>
      <c r="F151" s="17"/>
      <c r="G151" s="18"/>
      <c r="H151" s="18"/>
      <c r="I151" s="85">
        <f t="shared" si="15"/>
        <v>0</v>
      </c>
      <c r="J151" s="23">
        <f t="shared" si="16"/>
        <v>0</v>
      </c>
      <c r="K151" s="26"/>
      <c r="L151" s="27">
        <f t="shared" si="14"/>
        <v>0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:23" ht="20.100000000000001" customHeight="1" x14ac:dyDescent="0.2">
      <c r="A152" s="7">
        <v>141</v>
      </c>
      <c r="B152" s="8"/>
      <c r="C152" s="62"/>
      <c r="D152" s="1" t="str">
        <f t="shared" si="17"/>
        <v xml:space="preserve">, </v>
      </c>
      <c r="E152" s="1">
        <f t="shared" si="18"/>
        <v>141</v>
      </c>
      <c r="F152" s="15"/>
      <c r="G152" s="16"/>
      <c r="H152" s="16"/>
      <c r="I152" s="85">
        <f t="shared" si="15"/>
        <v>0</v>
      </c>
      <c r="J152" s="23">
        <f t="shared" si="16"/>
        <v>0</v>
      </c>
      <c r="K152" s="24"/>
      <c r="L152" s="25">
        <f t="shared" si="14"/>
        <v>0</v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ht="20.100000000000001" customHeight="1" x14ac:dyDescent="0.2">
      <c r="A153" s="9">
        <v>142</v>
      </c>
      <c r="B153" s="10"/>
      <c r="C153" s="61"/>
      <c r="D153" s="1" t="str">
        <f t="shared" si="17"/>
        <v xml:space="preserve">, </v>
      </c>
      <c r="E153" s="1">
        <f t="shared" si="18"/>
        <v>142</v>
      </c>
      <c r="F153" s="17"/>
      <c r="G153" s="18"/>
      <c r="H153" s="18"/>
      <c r="I153" s="85">
        <f t="shared" si="15"/>
        <v>0</v>
      </c>
      <c r="J153" s="23">
        <f t="shared" si="16"/>
        <v>0</v>
      </c>
      <c r="K153" s="26"/>
      <c r="L153" s="27">
        <f t="shared" si="14"/>
        <v>0</v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ht="20.100000000000001" customHeight="1" x14ac:dyDescent="0.2">
      <c r="A154" s="11">
        <v>143</v>
      </c>
      <c r="B154" s="12"/>
      <c r="C154" s="62"/>
      <c r="D154" s="1" t="str">
        <f t="shared" si="17"/>
        <v xml:space="preserve">, </v>
      </c>
      <c r="E154" s="1">
        <f t="shared" si="18"/>
        <v>143</v>
      </c>
      <c r="F154" s="19"/>
      <c r="G154" s="20"/>
      <c r="H154" s="20"/>
      <c r="I154" s="85">
        <f t="shared" si="15"/>
        <v>0</v>
      </c>
      <c r="J154" s="23">
        <f t="shared" si="16"/>
        <v>0</v>
      </c>
      <c r="K154" s="28"/>
      <c r="L154" s="27">
        <f t="shared" si="14"/>
        <v>0</v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ht="20.100000000000001" customHeight="1" x14ac:dyDescent="0.2">
      <c r="A155" s="9">
        <v>144</v>
      </c>
      <c r="B155" s="10"/>
      <c r="C155" s="61"/>
      <c r="D155" s="1" t="str">
        <f t="shared" si="17"/>
        <v xml:space="preserve">, </v>
      </c>
      <c r="E155" s="1">
        <f t="shared" si="18"/>
        <v>144</v>
      </c>
      <c r="F155" s="17"/>
      <c r="G155" s="18"/>
      <c r="H155" s="18"/>
      <c r="I155" s="85">
        <f t="shared" si="15"/>
        <v>0</v>
      </c>
      <c r="J155" s="23">
        <f t="shared" si="16"/>
        <v>0</v>
      </c>
      <c r="K155" s="26"/>
      <c r="L155" s="27">
        <f t="shared" si="14"/>
        <v>0</v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ht="20.100000000000001" customHeight="1" x14ac:dyDescent="0.2">
      <c r="A156" s="7">
        <v>145</v>
      </c>
      <c r="B156" s="8"/>
      <c r="C156" s="62"/>
      <c r="D156" s="1" t="str">
        <f t="shared" si="17"/>
        <v xml:space="preserve">, </v>
      </c>
      <c r="E156" s="1">
        <f t="shared" si="18"/>
        <v>145</v>
      </c>
      <c r="F156" s="15"/>
      <c r="G156" s="16"/>
      <c r="H156" s="16"/>
      <c r="I156" s="85">
        <f t="shared" si="15"/>
        <v>0</v>
      </c>
      <c r="J156" s="23">
        <f t="shared" si="16"/>
        <v>0</v>
      </c>
      <c r="K156" s="24"/>
      <c r="L156" s="25">
        <f t="shared" si="14"/>
        <v>0</v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ht="20.100000000000001" customHeight="1" x14ac:dyDescent="0.2">
      <c r="A157" s="9">
        <v>146</v>
      </c>
      <c r="B157" s="10"/>
      <c r="C157" s="61"/>
      <c r="D157" s="1" t="str">
        <f t="shared" si="17"/>
        <v xml:space="preserve">, </v>
      </c>
      <c r="E157" s="1">
        <f t="shared" si="18"/>
        <v>146</v>
      </c>
      <c r="F157" s="17"/>
      <c r="G157" s="18"/>
      <c r="H157" s="18"/>
      <c r="I157" s="85">
        <f t="shared" si="15"/>
        <v>0</v>
      </c>
      <c r="J157" s="23">
        <f t="shared" si="16"/>
        <v>0</v>
      </c>
      <c r="K157" s="26"/>
      <c r="L157" s="27">
        <f t="shared" si="14"/>
        <v>0</v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ht="20.100000000000001" customHeight="1" x14ac:dyDescent="0.2">
      <c r="A158" s="11">
        <v>147</v>
      </c>
      <c r="B158" s="12"/>
      <c r="C158" s="62"/>
      <c r="D158" s="1" t="str">
        <f t="shared" si="17"/>
        <v xml:space="preserve">, </v>
      </c>
      <c r="E158" s="1">
        <f t="shared" si="18"/>
        <v>147</v>
      </c>
      <c r="F158" s="19"/>
      <c r="G158" s="20"/>
      <c r="H158" s="20"/>
      <c r="I158" s="85">
        <f t="shared" si="15"/>
        <v>0</v>
      </c>
      <c r="J158" s="23">
        <f t="shared" si="16"/>
        <v>0</v>
      </c>
      <c r="K158" s="28"/>
      <c r="L158" s="27">
        <f t="shared" si="14"/>
        <v>0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ht="20.100000000000001" customHeight="1" x14ac:dyDescent="0.2">
      <c r="A159" s="9">
        <v>148</v>
      </c>
      <c r="B159" s="10"/>
      <c r="C159" s="61"/>
      <c r="D159" s="1" t="str">
        <f t="shared" si="17"/>
        <v xml:space="preserve">, </v>
      </c>
      <c r="E159" s="1">
        <f t="shared" si="18"/>
        <v>148</v>
      </c>
      <c r="F159" s="17"/>
      <c r="G159" s="18"/>
      <c r="H159" s="18"/>
      <c r="I159" s="85">
        <f t="shared" si="15"/>
        <v>0</v>
      </c>
      <c r="J159" s="23">
        <f t="shared" si="16"/>
        <v>0</v>
      </c>
      <c r="K159" s="26"/>
      <c r="L159" s="27">
        <f t="shared" si="14"/>
        <v>0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ht="20.100000000000001" customHeight="1" x14ac:dyDescent="0.2">
      <c r="A160" s="7">
        <v>149</v>
      </c>
      <c r="B160" s="8"/>
      <c r="C160" s="62"/>
      <c r="D160" s="1" t="str">
        <f t="shared" si="17"/>
        <v xml:space="preserve">, </v>
      </c>
      <c r="E160" s="1">
        <f t="shared" si="18"/>
        <v>149</v>
      </c>
      <c r="F160" s="15"/>
      <c r="G160" s="16"/>
      <c r="H160" s="16"/>
      <c r="I160" s="85">
        <f t="shared" si="15"/>
        <v>0</v>
      </c>
      <c r="J160" s="23">
        <f t="shared" si="16"/>
        <v>0</v>
      </c>
      <c r="K160" s="24"/>
      <c r="L160" s="25">
        <f t="shared" si="14"/>
        <v>0</v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ht="20.100000000000001" customHeight="1" x14ac:dyDescent="0.2">
      <c r="A161" s="9">
        <v>150</v>
      </c>
      <c r="B161" s="10"/>
      <c r="C161" s="61"/>
      <c r="D161" s="1" t="str">
        <f t="shared" si="17"/>
        <v xml:space="preserve">, </v>
      </c>
      <c r="E161" s="1">
        <f t="shared" si="18"/>
        <v>150</v>
      </c>
      <c r="F161" s="17"/>
      <c r="G161" s="18"/>
      <c r="H161" s="18"/>
      <c r="I161" s="85">
        <f t="shared" si="15"/>
        <v>0</v>
      </c>
      <c r="J161" s="23">
        <f t="shared" si="16"/>
        <v>0</v>
      </c>
      <c r="K161" s="26"/>
      <c r="L161" s="27">
        <f t="shared" si="14"/>
        <v>0</v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ht="20.100000000000001" customHeight="1" x14ac:dyDescent="0.2">
      <c r="A162" s="11">
        <v>151</v>
      </c>
      <c r="B162" s="12"/>
      <c r="C162" s="62"/>
      <c r="D162" s="1" t="str">
        <f t="shared" si="17"/>
        <v xml:space="preserve">, </v>
      </c>
      <c r="E162" s="1">
        <f t="shared" si="18"/>
        <v>151</v>
      </c>
      <c r="F162" s="19"/>
      <c r="G162" s="20"/>
      <c r="H162" s="20"/>
      <c r="I162" s="85">
        <f t="shared" si="15"/>
        <v>0</v>
      </c>
      <c r="J162" s="23">
        <f t="shared" si="16"/>
        <v>0</v>
      </c>
      <c r="K162" s="28"/>
      <c r="L162" s="27">
        <f t="shared" si="14"/>
        <v>0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ht="20.100000000000001" customHeight="1" x14ac:dyDescent="0.2">
      <c r="A163" s="9">
        <v>152</v>
      </c>
      <c r="B163" s="10"/>
      <c r="C163" s="61"/>
      <c r="D163" s="1" t="str">
        <f t="shared" si="17"/>
        <v xml:space="preserve">, </v>
      </c>
      <c r="E163" s="1">
        <f t="shared" si="18"/>
        <v>152</v>
      </c>
      <c r="F163" s="17"/>
      <c r="G163" s="18"/>
      <c r="H163" s="18"/>
      <c r="I163" s="85">
        <f t="shared" si="15"/>
        <v>0</v>
      </c>
      <c r="J163" s="23">
        <f t="shared" si="16"/>
        <v>0</v>
      </c>
      <c r="K163" s="26"/>
      <c r="L163" s="27">
        <f t="shared" si="14"/>
        <v>0</v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ht="20.100000000000001" customHeight="1" x14ac:dyDescent="0.2">
      <c r="A164" s="7">
        <v>153</v>
      </c>
      <c r="B164" s="8"/>
      <c r="C164" s="62"/>
      <c r="D164" s="1" t="str">
        <f t="shared" si="17"/>
        <v xml:space="preserve">, </v>
      </c>
      <c r="E164" s="1">
        <f t="shared" si="18"/>
        <v>153</v>
      </c>
      <c r="F164" s="15"/>
      <c r="G164" s="16"/>
      <c r="H164" s="16"/>
      <c r="I164" s="85">
        <f t="shared" si="15"/>
        <v>0</v>
      </c>
      <c r="J164" s="23">
        <f t="shared" si="16"/>
        <v>0</v>
      </c>
      <c r="K164" s="24"/>
      <c r="L164" s="25">
        <f t="shared" si="14"/>
        <v>0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:23" ht="20.100000000000001" customHeight="1" x14ac:dyDescent="0.2">
      <c r="A165" s="9">
        <v>154</v>
      </c>
      <c r="B165" s="10"/>
      <c r="C165" s="61"/>
      <c r="D165" s="1" t="str">
        <f t="shared" si="17"/>
        <v xml:space="preserve">, </v>
      </c>
      <c r="E165" s="1">
        <f t="shared" si="18"/>
        <v>154</v>
      </c>
      <c r="F165" s="17"/>
      <c r="G165" s="18"/>
      <c r="H165" s="18"/>
      <c r="I165" s="85">
        <f t="shared" si="15"/>
        <v>0</v>
      </c>
      <c r="J165" s="23">
        <f t="shared" si="16"/>
        <v>0</v>
      </c>
      <c r="K165" s="26"/>
      <c r="L165" s="27">
        <f t="shared" si="14"/>
        <v>0</v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:23" ht="20.100000000000001" customHeight="1" x14ac:dyDescent="0.2">
      <c r="A166" s="11">
        <v>155</v>
      </c>
      <c r="B166" s="12"/>
      <c r="C166" s="62"/>
      <c r="D166" s="1" t="str">
        <f t="shared" si="17"/>
        <v xml:space="preserve">, </v>
      </c>
      <c r="E166" s="1">
        <f t="shared" si="18"/>
        <v>155</v>
      </c>
      <c r="F166" s="19"/>
      <c r="G166" s="20"/>
      <c r="H166" s="20"/>
      <c r="I166" s="85">
        <f t="shared" si="15"/>
        <v>0</v>
      </c>
      <c r="J166" s="23">
        <f t="shared" si="16"/>
        <v>0</v>
      </c>
      <c r="K166" s="28"/>
      <c r="L166" s="27">
        <f t="shared" si="14"/>
        <v>0</v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:23" ht="20.100000000000001" customHeight="1" x14ac:dyDescent="0.2">
      <c r="A167" s="9">
        <v>156</v>
      </c>
      <c r="B167" s="10"/>
      <c r="C167" s="61"/>
      <c r="D167" s="1" t="str">
        <f t="shared" si="17"/>
        <v xml:space="preserve">, </v>
      </c>
      <c r="E167" s="1">
        <f t="shared" si="18"/>
        <v>156</v>
      </c>
      <c r="F167" s="17"/>
      <c r="G167" s="18"/>
      <c r="H167" s="18"/>
      <c r="I167" s="85">
        <f t="shared" si="15"/>
        <v>0</v>
      </c>
      <c r="J167" s="23">
        <f t="shared" si="16"/>
        <v>0</v>
      </c>
      <c r="K167" s="26"/>
      <c r="L167" s="27">
        <f t="shared" si="14"/>
        <v>0</v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ht="20.100000000000001" customHeight="1" x14ac:dyDescent="0.2">
      <c r="A168" s="7">
        <v>157</v>
      </c>
      <c r="B168" s="8"/>
      <c r="C168" s="62"/>
      <c r="D168" s="1" t="str">
        <f t="shared" si="17"/>
        <v xml:space="preserve">, </v>
      </c>
      <c r="E168" s="1">
        <f t="shared" si="18"/>
        <v>157</v>
      </c>
      <c r="F168" s="15"/>
      <c r="G168" s="16"/>
      <c r="H168" s="16"/>
      <c r="I168" s="85">
        <f t="shared" si="15"/>
        <v>0</v>
      </c>
      <c r="J168" s="23">
        <f t="shared" si="16"/>
        <v>0</v>
      </c>
      <c r="K168" s="24"/>
      <c r="L168" s="25">
        <f t="shared" si="14"/>
        <v>0</v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ht="20.100000000000001" customHeight="1" x14ac:dyDescent="0.2">
      <c r="A169" s="9">
        <v>158</v>
      </c>
      <c r="B169" s="10"/>
      <c r="C169" s="61"/>
      <c r="D169" s="1" t="str">
        <f t="shared" si="17"/>
        <v xml:space="preserve">, </v>
      </c>
      <c r="E169" s="1">
        <f t="shared" si="18"/>
        <v>158</v>
      </c>
      <c r="F169" s="17"/>
      <c r="G169" s="18"/>
      <c r="H169" s="18"/>
      <c r="I169" s="85">
        <f t="shared" si="15"/>
        <v>0</v>
      </c>
      <c r="J169" s="23">
        <f t="shared" si="16"/>
        <v>0</v>
      </c>
      <c r="K169" s="26"/>
      <c r="L169" s="27">
        <f t="shared" si="14"/>
        <v>0</v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ht="20.100000000000001" customHeight="1" x14ac:dyDescent="0.2">
      <c r="A170" s="11">
        <v>159</v>
      </c>
      <c r="B170" s="12"/>
      <c r="C170" s="62"/>
      <c r="D170" s="1" t="str">
        <f t="shared" si="17"/>
        <v xml:space="preserve">, </v>
      </c>
      <c r="E170" s="1">
        <f t="shared" si="18"/>
        <v>159</v>
      </c>
      <c r="F170" s="19"/>
      <c r="G170" s="20"/>
      <c r="H170" s="20"/>
      <c r="I170" s="85">
        <f t="shared" si="15"/>
        <v>0</v>
      </c>
      <c r="J170" s="23">
        <f t="shared" si="16"/>
        <v>0</v>
      </c>
      <c r="K170" s="28"/>
      <c r="L170" s="27">
        <f t="shared" si="14"/>
        <v>0</v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ht="20.100000000000001" customHeight="1" x14ac:dyDescent="0.2">
      <c r="A171" s="9">
        <v>160</v>
      </c>
      <c r="B171" s="10"/>
      <c r="C171" s="61"/>
      <c r="D171" s="1" t="str">
        <f t="shared" si="17"/>
        <v xml:space="preserve">, </v>
      </c>
      <c r="E171" s="1">
        <f t="shared" si="18"/>
        <v>160</v>
      </c>
      <c r="F171" s="17"/>
      <c r="G171" s="18"/>
      <c r="H171" s="18"/>
      <c r="I171" s="85">
        <f t="shared" si="15"/>
        <v>0</v>
      </c>
      <c r="J171" s="23">
        <f t="shared" si="16"/>
        <v>0</v>
      </c>
      <c r="K171" s="26"/>
      <c r="L171" s="27">
        <f t="shared" si="14"/>
        <v>0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ht="20.100000000000001" customHeight="1" x14ac:dyDescent="0.2">
      <c r="A172" s="7">
        <v>161</v>
      </c>
      <c r="B172" s="8"/>
      <c r="C172" s="62"/>
      <c r="D172" s="1" t="str">
        <f t="shared" si="17"/>
        <v xml:space="preserve">, </v>
      </c>
      <c r="E172" s="1">
        <f t="shared" si="18"/>
        <v>161</v>
      </c>
      <c r="F172" s="15"/>
      <c r="G172" s="16"/>
      <c r="H172" s="16"/>
      <c r="I172" s="85">
        <f t="shared" si="15"/>
        <v>0</v>
      </c>
      <c r="J172" s="23">
        <f t="shared" si="16"/>
        <v>0</v>
      </c>
      <c r="K172" s="24"/>
      <c r="L172" s="25">
        <f t="shared" si="14"/>
        <v>0</v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ht="20.100000000000001" customHeight="1" x14ac:dyDescent="0.2">
      <c r="A173" s="9">
        <v>162</v>
      </c>
      <c r="B173" s="10"/>
      <c r="C173" s="61"/>
      <c r="D173" s="1" t="str">
        <f t="shared" si="17"/>
        <v xml:space="preserve">, </v>
      </c>
      <c r="E173" s="1">
        <f t="shared" si="18"/>
        <v>162</v>
      </c>
      <c r="F173" s="17"/>
      <c r="G173" s="18"/>
      <c r="H173" s="18"/>
      <c r="I173" s="85">
        <f t="shared" si="15"/>
        <v>0</v>
      </c>
      <c r="J173" s="23">
        <f t="shared" si="16"/>
        <v>0</v>
      </c>
      <c r="K173" s="26"/>
      <c r="L173" s="27">
        <f t="shared" si="14"/>
        <v>0</v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:23" ht="20.100000000000001" customHeight="1" x14ac:dyDescent="0.2">
      <c r="A174" s="11">
        <v>163</v>
      </c>
      <c r="B174" s="12"/>
      <c r="C174" s="62"/>
      <c r="D174" s="1" t="str">
        <f t="shared" si="17"/>
        <v xml:space="preserve">, </v>
      </c>
      <c r="E174" s="1">
        <f t="shared" si="18"/>
        <v>163</v>
      </c>
      <c r="F174" s="19"/>
      <c r="G174" s="20"/>
      <c r="H174" s="20"/>
      <c r="I174" s="85">
        <f t="shared" si="15"/>
        <v>0</v>
      </c>
      <c r="J174" s="23">
        <f t="shared" si="16"/>
        <v>0</v>
      </c>
      <c r="K174" s="28"/>
      <c r="L174" s="27">
        <f t="shared" si="14"/>
        <v>0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:23" ht="20.100000000000001" customHeight="1" x14ac:dyDescent="0.2">
      <c r="A175" s="9">
        <v>164</v>
      </c>
      <c r="B175" s="10"/>
      <c r="C175" s="61"/>
      <c r="D175" s="1" t="str">
        <f t="shared" si="17"/>
        <v xml:space="preserve">, </v>
      </c>
      <c r="E175" s="1">
        <f t="shared" si="18"/>
        <v>164</v>
      </c>
      <c r="F175" s="17"/>
      <c r="G175" s="18"/>
      <c r="H175" s="18"/>
      <c r="I175" s="85">
        <f t="shared" si="15"/>
        <v>0</v>
      </c>
      <c r="J175" s="23">
        <f t="shared" si="16"/>
        <v>0</v>
      </c>
      <c r="K175" s="26"/>
      <c r="L175" s="27">
        <f t="shared" si="14"/>
        <v>0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1:23" ht="20.100000000000001" customHeight="1" x14ac:dyDescent="0.2">
      <c r="A176" s="7">
        <v>165</v>
      </c>
      <c r="B176" s="8"/>
      <c r="C176" s="62"/>
      <c r="D176" s="1" t="str">
        <f t="shared" si="17"/>
        <v xml:space="preserve">, </v>
      </c>
      <c r="E176" s="1">
        <f t="shared" si="18"/>
        <v>165</v>
      </c>
      <c r="F176" s="15"/>
      <c r="G176" s="16"/>
      <c r="H176" s="16"/>
      <c r="I176" s="85">
        <f t="shared" si="15"/>
        <v>0</v>
      </c>
      <c r="J176" s="23">
        <f t="shared" si="16"/>
        <v>0</v>
      </c>
      <c r="K176" s="24"/>
      <c r="L176" s="25">
        <f t="shared" si="14"/>
        <v>0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ht="20.100000000000001" customHeight="1" x14ac:dyDescent="0.2">
      <c r="A177" s="9">
        <v>166</v>
      </c>
      <c r="B177" s="10"/>
      <c r="C177" s="61"/>
      <c r="D177" s="1" t="str">
        <f t="shared" si="17"/>
        <v xml:space="preserve">, </v>
      </c>
      <c r="E177" s="1">
        <f t="shared" si="18"/>
        <v>166</v>
      </c>
      <c r="F177" s="17"/>
      <c r="G177" s="18"/>
      <c r="H177" s="18"/>
      <c r="I177" s="85">
        <f t="shared" si="15"/>
        <v>0</v>
      </c>
      <c r="J177" s="23">
        <f t="shared" si="16"/>
        <v>0</v>
      </c>
      <c r="K177" s="26"/>
      <c r="L177" s="27">
        <f t="shared" si="14"/>
        <v>0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ht="20.100000000000001" customHeight="1" x14ac:dyDescent="0.2">
      <c r="A178" s="11">
        <v>167</v>
      </c>
      <c r="B178" s="12"/>
      <c r="C178" s="62"/>
      <c r="D178" s="1" t="str">
        <f t="shared" si="17"/>
        <v xml:space="preserve">, </v>
      </c>
      <c r="E178" s="1">
        <f t="shared" si="18"/>
        <v>167</v>
      </c>
      <c r="F178" s="19"/>
      <c r="G178" s="20"/>
      <c r="H178" s="20"/>
      <c r="I178" s="85">
        <f t="shared" si="15"/>
        <v>0</v>
      </c>
      <c r="J178" s="23">
        <f t="shared" si="16"/>
        <v>0</v>
      </c>
      <c r="K178" s="28"/>
      <c r="L178" s="27">
        <f t="shared" si="14"/>
        <v>0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ht="20.100000000000001" customHeight="1" x14ac:dyDescent="0.2">
      <c r="A179" s="9">
        <v>168</v>
      </c>
      <c r="B179" s="10"/>
      <c r="C179" s="61"/>
      <c r="D179" s="1" t="str">
        <f t="shared" si="17"/>
        <v xml:space="preserve">, </v>
      </c>
      <c r="E179" s="1">
        <f t="shared" si="18"/>
        <v>168</v>
      </c>
      <c r="F179" s="17"/>
      <c r="G179" s="18"/>
      <c r="H179" s="18"/>
      <c r="I179" s="85">
        <f t="shared" si="15"/>
        <v>0</v>
      </c>
      <c r="J179" s="23">
        <f t="shared" si="16"/>
        <v>0</v>
      </c>
      <c r="K179" s="26"/>
      <c r="L179" s="27">
        <f t="shared" si="14"/>
        <v>0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ht="20.100000000000001" customHeight="1" x14ac:dyDescent="0.2">
      <c r="A180" s="7">
        <v>169</v>
      </c>
      <c r="B180" s="8"/>
      <c r="C180" s="62"/>
      <c r="D180" s="1" t="str">
        <f t="shared" si="17"/>
        <v xml:space="preserve">, </v>
      </c>
      <c r="E180" s="1">
        <f t="shared" si="18"/>
        <v>169</v>
      </c>
      <c r="F180" s="15"/>
      <c r="G180" s="16"/>
      <c r="H180" s="16"/>
      <c r="I180" s="85">
        <f t="shared" si="15"/>
        <v>0</v>
      </c>
      <c r="J180" s="23">
        <f t="shared" si="16"/>
        <v>0</v>
      </c>
      <c r="K180" s="24"/>
      <c r="L180" s="25">
        <f t="shared" si="14"/>
        <v>0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ht="20.100000000000001" customHeight="1" x14ac:dyDescent="0.2">
      <c r="A181" s="9">
        <v>170</v>
      </c>
      <c r="B181" s="10"/>
      <c r="C181" s="61"/>
      <c r="D181" s="1" t="str">
        <f t="shared" si="17"/>
        <v xml:space="preserve">, </v>
      </c>
      <c r="E181" s="1">
        <f t="shared" si="18"/>
        <v>170</v>
      </c>
      <c r="F181" s="17"/>
      <c r="G181" s="18"/>
      <c r="H181" s="18"/>
      <c r="I181" s="85">
        <f t="shared" si="15"/>
        <v>0</v>
      </c>
      <c r="J181" s="23">
        <f t="shared" si="16"/>
        <v>0</v>
      </c>
      <c r="K181" s="26"/>
      <c r="L181" s="27">
        <f t="shared" si="14"/>
        <v>0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ht="20.100000000000001" customHeight="1" x14ac:dyDescent="0.2">
      <c r="A182" s="11">
        <v>171</v>
      </c>
      <c r="B182" s="12"/>
      <c r="C182" s="62"/>
      <c r="D182" s="1" t="str">
        <f t="shared" si="17"/>
        <v xml:space="preserve">, </v>
      </c>
      <c r="E182" s="1">
        <f t="shared" si="18"/>
        <v>171</v>
      </c>
      <c r="F182" s="19"/>
      <c r="G182" s="20"/>
      <c r="H182" s="20"/>
      <c r="I182" s="85">
        <f t="shared" si="15"/>
        <v>0</v>
      </c>
      <c r="J182" s="23">
        <f t="shared" si="16"/>
        <v>0</v>
      </c>
      <c r="K182" s="28"/>
      <c r="L182" s="27">
        <f t="shared" si="14"/>
        <v>0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ht="20.100000000000001" customHeight="1" x14ac:dyDescent="0.2">
      <c r="A183" s="9">
        <v>172</v>
      </c>
      <c r="B183" s="10"/>
      <c r="C183" s="61"/>
      <c r="D183" s="1" t="str">
        <f t="shared" si="17"/>
        <v xml:space="preserve">, </v>
      </c>
      <c r="E183" s="1">
        <f t="shared" si="18"/>
        <v>172</v>
      </c>
      <c r="F183" s="17"/>
      <c r="G183" s="18"/>
      <c r="H183" s="18"/>
      <c r="I183" s="85">
        <f t="shared" si="15"/>
        <v>0</v>
      </c>
      <c r="J183" s="23">
        <f t="shared" si="16"/>
        <v>0</v>
      </c>
      <c r="K183" s="26"/>
      <c r="L183" s="27">
        <f t="shared" si="14"/>
        <v>0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ht="20.100000000000001" customHeight="1" x14ac:dyDescent="0.2">
      <c r="A184" s="7">
        <v>173</v>
      </c>
      <c r="B184" s="8"/>
      <c r="C184" s="62"/>
      <c r="D184" s="1" t="str">
        <f t="shared" si="17"/>
        <v xml:space="preserve">, </v>
      </c>
      <c r="E184" s="1">
        <f t="shared" si="18"/>
        <v>173</v>
      </c>
      <c r="F184" s="15"/>
      <c r="G184" s="16"/>
      <c r="H184" s="16"/>
      <c r="I184" s="85">
        <f t="shared" si="15"/>
        <v>0</v>
      </c>
      <c r="J184" s="23">
        <f t="shared" si="16"/>
        <v>0</v>
      </c>
      <c r="K184" s="24"/>
      <c r="L184" s="25">
        <f t="shared" si="14"/>
        <v>0</v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ht="20.100000000000001" customHeight="1" x14ac:dyDescent="0.2">
      <c r="A185" s="9">
        <v>174</v>
      </c>
      <c r="B185" s="10"/>
      <c r="C185" s="61"/>
      <c r="D185" s="1" t="str">
        <f t="shared" si="17"/>
        <v xml:space="preserve">, </v>
      </c>
      <c r="E185" s="1">
        <f t="shared" si="18"/>
        <v>174</v>
      </c>
      <c r="F185" s="17"/>
      <c r="G185" s="18"/>
      <c r="H185" s="18"/>
      <c r="I185" s="85">
        <f t="shared" si="15"/>
        <v>0</v>
      </c>
      <c r="J185" s="23">
        <f t="shared" si="16"/>
        <v>0</v>
      </c>
      <c r="K185" s="26"/>
      <c r="L185" s="27">
        <f t="shared" si="14"/>
        <v>0</v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ht="20.100000000000001" customHeight="1" x14ac:dyDescent="0.2">
      <c r="A186" s="11">
        <v>175</v>
      </c>
      <c r="B186" s="12"/>
      <c r="C186" s="62"/>
      <c r="D186" s="1" t="str">
        <f t="shared" si="17"/>
        <v xml:space="preserve">, </v>
      </c>
      <c r="E186" s="1">
        <f t="shared" si="18"/>
        <v>175</v>
      </c>
      <c r="F186" s="19"/>
      <c r="G186" s="20"/>
      <c r="H186" s="20"/>
      <c r="I186" s="85">
        <f t="shared" si="15"/>
        <v>0</v>
      </c>
      <c r="J186" s="23">
        <f t="shared" si="16"/>
        <v>0</v>
      </c>
      <c r="K186" s="28"/>
      <c r="L186" s="27">
        <f t="shared" si="14"/>
        <v>0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ht="20.100000000000001" customHeight="1" x14ac:dyDescent="0.2">
      <c r="A187" s="9">
        <v>176</v>
      </c>
      <c r="B187" s="10"/>
      <c r="C187" s="61"/>
      <c r="D187" s="1" t="str">
        <f t="shared" si="17"/>
        <v xml:space="preserve">, </v>
      </c>
      <c r="E187" s="1">
        <f t="shared" si="18"/>
        <v>176</v>
      </c>
      <c r="F187" s="17"/>
      <c r="G187" s="18"/>
      <c r="H187" s="18"/>
      <c r="I187" s="85">
        <f t="shared" si="15"/>
        <v>0</v>
      </c>
      <c r="J187" s="23">
        <f t="shared" si="16"/>
        <v>0</v>
      </c>
      <c r="K187" s="26"/>
      <c r="L187" s="27">
        <f t="shared" si="14"/>
        <v>0</v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ht="20.100000000000001" customHeight="1" x14ac:dyDescent="0.2">
      <c r="A188" s="7">
        <v>177</v>
      </c>
      <c r="B188" s="8"/>
      <c r="C188" s="62"/>
      <c r="D188" s="1" t="str">
        <f t="shared" si="17"/>
        <v xml:space="preserve">, </v>
      </c>
      <c r="E188" s="1">
        <f t="shared" si="18"/>
        <v>177</v>
      </c>
      <c r="F188" s="15"/>
      <c r="G188" s="16"/>
      <c r="H188" s="16"/>
      <c r="I188" s="85">
        <f t="shared" si="15"/>
        <v>0</v>
      </c>
      <c r="J188" s="23">
        <f t="shared" si="16"/>
        <v>0</v>
      </c>
      <c r="K188" s="24"/>
      <c r="L188" s="25">
        <f t="shared" si="14"/>
        <v>0</v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1:23" ht="20.100000000000001" customHeight="1" x14ac:dyDescent="0.2">
      <c r="A189" s="9">
        <v>178</v>
      </c>
      <c r="B189" s="10"/>
      <c r="C189" s="61"/>
      <c r="D189" s="1" t="str">
        <f t="shared" si="17"/>
        <v xml:space="preserve">, </v>
      </c>
      <c r="E189" s="1">
        <f t="shared" si="18"/>
        <v>178</v>
      </c>
      <c r="F189" s="17"/>
      <c r="G189" s="18"/>
      <c r="H189" s="18"/>
      <c r="I189" s="85">
        <f t="shared" si="15"/>
        <v>0</v>
      </c>
      <c r="J189" s="23">
        <f t="shared" si="16"/>
        <v>0</v>
      </c>
      <c r="K189" s="26"/>
      <c r="L189" s="27">
        <f t="shared" si="14"/>
        <v>0</v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1:23" ht="20.100000000000001" customHeight="1" x14ac:dyDescent="0.2">
      <c r="A190" s="11">
        <v>179</v>
      </c>
      <c r="B190" s="12"/>
      <c r="C190" s="62"/>
      <c r="D190" s="1" t="str">
        <f t="shared" si="17"/>
        <v xml:space="preserve">, </v>
      </c>
      <c r="E190" s="1">
        <f t="shared" si="18"/>
        <v>179</v>
      </c>
      <c r="F190" s="19"/>
      <c r="G190" s="20"/>
      <c r="H190" s="20"/>
      <c r="I190" s="85">
        <f t="shared" si="15"/>
        <v>0</v>
      </c>
      <c r="J190" s="23">
        <f t="shared" si="16"/>
        <v>0</v>
      </c>
      <c r="K190" s="28"/>
      <c r="L190" s="27">
        <f t="shared" si="14"/>
        <v>0</v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1:23" ht="20.100000000000001" customHeight="1" x14ac:dyDescent="0.2">
      <c r="A191" s="9">
        <v>180</v>
      </c>
      <c r="B191" s="10"/>
      <c r="C191" s="61"/>
      <c r="D191" s="1" t="str">
        <f t="shared" si="17"/>
        <v xml:space="preserve">, </v>
      </c>
      <c r="E191" s="1">
        <f t="shared" si="18"/>
        <v>180</v>
      </c>
      <c r="F191" s="17"/>
      <c r="G191" s="18"/>
      <c r="H191" s="18"/>
      <c r="I191" s="85">
        <f t="shared" si="15"/>
        <v>0</v>
      </c>
      <c r="J191" s="23">
        <f t="shared" si="16"/>
        <v>0</v>
      </c>
      <c r="K191" s="26"/>
      <c r="L191" s="27">
        <f t="shared" si="14"/>
        <v>0</v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ht="20.100000000000001" customHeight="1" x14ac:dyDescent="0.2">
      <c r="A192" s="7">
        <v>181</v>
      </c>
      <c r="B192" s="8"/>
      <c r="C192" s="62"/>
      <c r="D192" s="1" t="str">
        <f t="shared" si="17"/>
        <v xml:space="preserve">, </v>
      </c>
      <c r="E192" s="1">
        <f t="shared" si="18"/>
        <v>181</v>
      </c>
      <c r="F192" s="15"/>
      <c r="G192" s="16"/>
      <c r="H192" s="16"/>
      <c r="I192" s="85">
        <f t="shared" si="15"/>
        <v>0</v>
      </c>
      <c r="J192" s="23">
        <f t="shared" si="16"/>
        <v>0</v>
      </c>
      <c r="K192" s="24"/>
      <c r="L192" s="25">
        <f t="shared" si="14"/>
        <v>0</v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ht="20.100000000000001" customHeight="1" x14ac:dyDescent="0.2">
      <c r="A193" s="9">
        <v>182</v>
      </c>
      <c r="B193" s="10"/>
      <c r="C193" s="61"/>
      <c r="D193" s="1" t="str">
        <f t="shared" si="17"/>
        <v xml:space="preserve">, </v>
      </c>
      <c r="E193" s="1">
        <f t="shared" si="18"/>
        <v>182</v>
      </c>
      <c r="F193" s="17"/>
      <c r="G193" s="18"/>
      <c r="H193" s="18"/>
      <c r="I193" s="85">
        <f t="shared" si="15"/>
        <v>0</v>
      </c>
      <c r="J193" s="23">
        <f t="shared" si="16"/>
        <v>0</v>
      </c>
      <c r="K193" s="26"/>
      <c r="L193" s="27">
        <f t="shared" si="14"/>
        <v>0</v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ht="20.100000000000001" customHeight="1" x14ac:dyDescent="0.2">
      <c r="A194" s="11">
        <v>183</v>
      </c>
      <c r="B194" s="12"/>
      <c r="C194" s="62"/>
      <c r="D194" s="1" t="str">
        <f t="shared" si="17"/>
        <v xml:space="preserve">, </v>
      </c>
      <c r="E194" s="1">
        <f t="shared" si="18"/>
        <v>183</v>
      </c>
      <c r="F194" s="19"/>
      <c r="G194" s="20"/>
      <c r="H194" s="20"/>
      <c r="I194" s="85">
        <f t="shared" si="15"/>
        <v>0</v>
      </c>
      <c r="J194" s="23">
        <f t="shared" si="16"/>
        <v>0</v>
      </c>
      <c r="K194" s="28"/>
      <c r="L194" s="27">
        <f t="shared" si="14"/>
        <v>0</v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ht="20.100000000000001" customHeight="1" x14ac:dyDescent="0.2">
      <c r="A195" s="9">
        <v>184</v>
      </c>
      <c r="B195" s="10"/>
      <c r="C195" s="61"/>
      <c r="D195" s="1" t="str">
        <f t="shared" si="17"/>
        <v xml:space="preserve">, </v>
      </c>
      <c r="E195" s="1">
        <f t="shared" si="18"/>
        <v>184</v>
      </c>
      <c r="F195" s="17"/>
      <c r="G195" s="18"/>
      <c r="H195" s="18"/>
      <c r="I195" s="85">
        <f t="shared" si="15"/>
        <v>0</v>
      </c>
      <c r="J195" s="23">
        <f t="shared" si="16"/>
        <v>0</v>
      </c>
      <c r="K195" s="26"/>
      <c r="L195" s="27">
        <f t="shared" si="14"/>
        <v>0</v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ht="20.100000000000001" customHeight="1" x14ac:dyDescent="0.2">
      <c r="A196" s="7">
        <v>185</v>
      </c>
      <c r="B196" s="8"/>
      <c r="C196" s="62"/>
      <c r="D196" s="1" t="str">
        <f t="shared" si="17"/>
        <v xml:space="preserve">, </v>
      </c>
      <c r="E196" s="1">
        <f t="shared" si="18"/>
        <v>185</v>
      </c>
      <c r="F196" s="15"/>
      <c r="G196" s="16"/>
      <c r="H196" s="16"/>
      <c r="I196" s="85">
        <f t="shared" si="15"/>
        <v>0</v>
      </c>
      <c r="J196" s="23">
        <f t="shared" si="16"/>
        <v>0</v>
      </c>
      <c r="K196" s="24"/>
      <c r="L196" s="25">
        <f t="shared" ref="L196:L259" si="19">J196-K196</f>
        <v>0</v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ht="20.100000000000001" customHeight="1" x14ac:dyDescent="0.2">
      <c r="A197" s="9">
        <v>186</v>
      </c>
      <c r="B197" s="10"/>
      <c r="C197" s="61"/>
      <c r="D197" s="1" t="str">
        <f t="shared" si="17"/>
        <v xml:space="preserve">, </v>
      </c>
      <c r="E197" s="1">
        <f t="shared" si="18"/>
        <v>186</v>
      </c>
      <c r="F197" s="17"/>
      <c r="G197" s="18"/>
      <c r="H197" s="18"/>
      <c r="I197" s="85">
        <f t="shared" si="15"/>
        <v>0</v>
      </c>
      <c r="J197" s="23">
        <f t="shared" si="16"/>
        <v>0</v>
      </c>
      <c r="K197" s="26"/>
      <c r="L197" s="27">
        <f t="shared" si="19"/>
        <v>0</v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1:23" ht="20.100000000000001" customHeight="1" x14ac:dyDescent="0.2">
      <c r="A198" s="11">
        <v>187</v>
      </c>
      <c r="B198" s="12"/>
      <c r="C198" s="62"/>
      <c r="D198" s="1" t="str">
        <f t="shared" si="17"/>
        <v xml:space="preserve">, </v>
      </c>
      <c r="E198" s="1">
        <f t="shared" si="18"/>
        <v>187</v>
      </c>
      <c r="F198" s="19"/>
      <c r="G198" s="20"/>
      <c r="H198" s="20"/>
      <c r="I198" s="85">
        <f t="shared" si="15"/>
        <v>0</v>
      </c>
      <c r="J198" s="23">
        <f t="shared" si="16"/>
        <v>0</v>
      </c>
      <c r="K198" s="28"/>
      <c r="L198" s="27">
        <f t="shared" si="19"/>
        <v>0</v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1:23" ht="20.100000000000001" customHeight="1" x14ac:dyDescent="0.2">
      <c r="A199" s="9">
        <v>188</v>
      </c>
      <c r="B199" s="10"/>
      <c r="C199" s="61"/>
      <c r="D199" s="1" t="str">
        <f t="shared" si="17"/>
        <v xml:space="preserve">, </v>
      </c>
      <c r="E199" s="1">
        <f t="shared" si="18"/>
        <v>188</v>
      </c>
      <c r="F199" s="17"/>
      <c r="G199" s="18"/>
      <c r="H199" s="18"/>
      <c r="I199" s="85">
        <f t="shared" si="15"/>
        <v>0</v>
      </c>
      <c r="J199" s="23">
        <f t="shared" si="16"/>
        <v>0</v>
      </c>
      <c r="K199" s="26"/>
      <c r="L199" s="27">
        <f t="shared" si="19"/>
        <v>0</v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1:23" ht="20.100000000000001" customHeight="1" x14ac:dyDescent="0.2">
      <c r="A200" s="7">
        <v>189</v>
      </c>
      <c r="B200" s="8"/>
      <c r="C200" s="62"/>
      <c r="D200" s="1" t="str">
        <f t="shared" si="17"/>
        <v xml:space="preserve">, </v>
      </c>
      <c r="E200" s="1">
        <f t="shared" si="18"/>
        <v>189</v>
      </c>
      <c r="F200" s="15"/>
      <c r="G200" s="16"/>
      <c r="H200" s="16"/>
      <c r="I200" s="85">
        <f t="shared" si="15"/>
        <v>0</v>
      </c>
      <c r="J200" s="23">
        <f t="shared" si="16"/>
        <v>0</v>
      </c>
      <c r="K200" s="24"/>
      <c r="L200" s="25">
        <f t="shared" si="19"/>
        <v>0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ht="20.100000000000001" customHeight="1" x14ac:dyDescent="0.2">
      <c r="A201" s="9">
        <v>190</v>
      </c>
      <c r="B201" s="10"/>
      <c r="C201" s="61"/>
      <c r="D201" s="1" t="str">
        <f t="shared" si="17"/>
        <v xml:space="preserve">, </v>
      </c>
      <c r="E201" s="1">
        <f t="shared" si="18"/>
        <v>190</v>
      </c>
      <c r="F201" s="17"/>
      <c r="G201" s="18"/>
      <c r="H201" s="18"/>
      <c r="I201" s="85">
        <f t="shared" si="15"/>
        <v>0</v>
      </c>
      <c r="J201" s="23">
        <f t="shared" si="16"/>
        <v>0</v>
      </c>
      <c r="K201" s="26"/>
      <c r="L201" s="27">
        <f t="shared" si="19"/>
        <v>0</v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ht="20.100000000000001" customHeight="1" x14ac:dyDescent="0.2">
      <c r="A202" s="11">
        <v>191</v>
      </c>
      <c r="B202" s="12"/>
      <c r="C202" s="62"/>
      <c r="D202" s="1" t="str">
        <f t="shared" si="17"/>
        <v xml:space="preserve">, </v>
      </c>
      <c r="E202" s="1">
        <f t="shared" si="18"/>
        <v>191</v>
      </c>
      <c r="F202" s="19"/>
      <c r="G202" s="20"/>
      <c r="H202" s="20"/>
      <c r="I202" s="85">
        <f t="shared" si="15"/>
        <v>0</v>
      </c>
      <c r="J202" s="23">
        <f t="shared" si="16"/>
        <v>0</v>
      </c>
      <c r="K202" s="28"/>
      <c r="L202" s="27">
        <f t="shared" si="19"/>
        <v>0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ht="20.100000000000001" customHeight="1" x14ac:dyDescent="0.2">
      <c r="A203" s="9">
        <v>192</v>
      </c>
      <c r="B203" s="10"/>
      <c r="C203" s="61"/>
      <c r="D203" s="1" t="str">
        <f t="shared" si="17"/>
        <v xml:space="preserve">, </v>
      </c>
      <c r="E203" s="1">
        <f t="shared" si="18"/>
        <v>192</v>
      </c>
      <c r="F203" s="17"/>
      <c r="G203" s="18"/>
      <c r="H203" s="18"/>
      <c r="I203" s="85">
        <f t="shared" si="15"/>
        <v>0</v>
      </c>
      <c r="J203" s="23">
        <f t="shared" si="16"/>
        <v>0</v>
      </c>
      <c r="K203" s="26"/>
      <c r="L203" s="27">
        <f t="shared" si="19"/>
        <v>0</v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ht="20.100000000000001" customHeight="1" x14ac:dyDescent="0.2">
      <c r="A204" s="7">
        <v>193</v>
      </c>
      <c r="B204" s="8"/>
      <c r="C204" s="62"/>
      <c r="D204" s="1" t="str">
        <f t="shared" si="17"/>
        <v xml:space="preserve">, </v>
      </c>
      <c r="E204" s="1">
        <f t="shared" si="18"/>
        <v>193</v>
      </c>
      <c r="F204" s="15"/>
      <c r="G204" s="16"/>
      <c r="H204" s="16"/>
      <c r="I204" s="85">
        <f t="shared" ref="I204:I267" si="20">SUM(F204:H204)</f>
        <v>0</v>
      </c>
      <c r="J204" s="23">
        <f t="shared" ref="J204:J267" si="21">IFERROR(I204*$F$3,0)</f>
        <v>0</v>
      </c>
      <c r="K204" s="24"/>
      <c r="L204" s="25">
        <f t="shared" si="19"/>
        <v>0</v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ht="20.100000000000001" customHeight="1" x14ac:dyDescent="0.2">
      <c r="A205" s="9">
        <v>194</v>
      </c>
      <c r="B205" s="10"/>
      <c r="C205" s="61"/>
      <c r="D205" s="1" t="str">
        <f t="shared" ref="D205:D268" si="22">CONCATENATE(C205,", ",B205)</f>
        <v xml:space="preserve">, </v>
      </c>
      <c r="E205" s="1">
        <f t="shared" ref="E205:E268" si="23">A205</f>
        <v>194</v>
      </c>
      <c r="F205" s="17"/>
      <c r="G205" s="18"/>
      <c r="H205" s="18"/>
      <c r="I205" s="85">
        <f t="shared" si="20"/>
        <v>0</v>
      </c>
      <c r="J205" s="23">
        <f t="shared" si="21"/>
        <v>0</v>
      </c>
      <c r="K205" s="26"/>
      <c r="L205" s="27">
        <f t="shared" si="19"/>
        <v>0</v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ht="20.100000000000001" customHeight="1" x14ac:dyDescent="0.2">
      <c r="A206" s="11">
        <v>195</v>
      </c>
      <c r="B206" s="12"/>
      <c r="C206" s="62"/>
      <c r="D206" s="1" t="str">
        <f t="shared" si="22"/>
        <v xml:space="preserve">, </v>
      </c>
      <c r="E206" s="1">
        <f t="shared" si="23"/>
        <v>195</v>
      </c>
      <c r="F206" s="19"/>
      <c r="G206" s="20"/>
      <c r="H206" s="20"/>
      <c r="I206" s="85">
        <f t="shared" si="20"/>
        <v>0</v>
      </c>
      <c r="J206" s="23">
        <f t="shared" si="21"/>
        <v>0</v>
      </c>
      <c r="K206" s="28"/>
      <c r="L206" s="27">
        <f t="shared" si="19"/>
        <v>0</v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ht="20.100000000000001" customHeight="1" x14ac:dyDescent="0.2">
      <c r="A207" s="9">
        <v>196</v>
      </c>
      <c r="B207" s="10"/>
      <c r="C207" s="61"/>
      <c r="D207" s="1" t="str">
        <f t="shared" si="22"/>
        <v xml:space="preserve">, </v>
      </c>
      <c r="E207" s="1">
        <f t="shared" si="23"/>
        <v>196</v>
      </c>
      <c r="F207" s="17"/>
      <c r="G207" s="18"/>
      <c r="H207" s="18"/>
      <c r="I207" s="85">
        <f t="shared" si="20"/>
        <v>0</v>
      </c>
      <c r="J207" s="23">
        <f t="shared" si="21"/>
        <v>0</v>
      </c>
      <c r="K207" s="26"/>
      <c r="L207" s="27">
        <f t="shared" si="19"/>
        <v>0</v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ht="20.100000000000001" customHeight="1" x14ac:dyDescent="0.2">
      <c r="A208" s="7">
        <v>197</v>
      </c>
      <c r="B208" s="8"/>
      <c r="C208" s="62"/>
      <c r="D208" s="1" t="str">
        <f t="shared" si="22"/>
        <v xml:space="preserve">, </v>
      </c>
      <c r="E208" s="1">
        <f t="shared" si="23"/>
        <v>197</v>
      </c>
      <c r="F208" s="15"/>
      <c r="G208" s="16"/>
      <c r="H208" s="16"/>
      <c r="I208" s="85">
        <f t="shared" si="20"/>
        <v>0</v>
      </c>
      <c r="J208" s="23">
        <f t="shared" si="21"/>
        <v>0</v>
      </c>
      <c r="K208" s="24"/>
      <c r="L208" s="25">
        <f t="shared" si="19"/>
        <v>0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ht="20.100000000000001" customHeight="1" x14ac:dyDescent="0.2">
      <c r="A209" s="9">
        <v>198</v>
      </c>
      <c r="B209" s="10"/>
      <c r="C209" s="61"/>
      <c r="D209" s="1" t="str">
        <f t="shared" si="22"/>
        <v xml:space="preserve">, </v>
      </c>
      <c r="E209" s="1">
        <f t="shared" si="23"/>
        <v>198</v>
      </c>
      <c r="F209" s="17"/>
      <c r="G209" s="18"/>
      <c r="H209" s="18"/>
      <c r="I209" s="85">
        <f t="shared" si="20"/>
        <v>0</v>
      </c>
      <c r="J209" s="23">
        <f t="shared" si="21"/>
        <v>0</v>
      </c>
      <c r="K209" s="26"/>
      <c r="L209" s="27">
        <f t="shared" si="19"/>
        <v>0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ht="20.100000000000001" customHeight="1" x14ac:dyDescent="0.2">
      <c r="A210" s="11">
        <v>199</v>
      </c>
      <c r="B210" s="12"/>
      <c r="C210" s="62"/>
      <c r="D210" s="1" t="str">
        <f t="shared" si="22"/>
        <v xml:space="preserve">, </v>
      </c>
      <c r="E210" s="1">
        <f t="shared" si="23"/>
        <v>199</v>
      </c>
      <c r="F210" s="19"/>
      <c r="G210" s="20"/>
      <c r="H210" s="20"/>
      <c r="I210" s="85">
        <f t="shared" si="20"/>
        <v>0</v>
      </c>
      <c r="J210" s="23">
        <f t="shared" si="21"/>
        <v>0</v>
      </c>
      <c r="K210" s="28"/>
      <c r="L210" s="27">
        <f t="shared" si="19"/>
        <v>0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ht="20.100000000000001" customHeight="1" x14ac:dyDescent="0.2">
      <c r="A211" s="9">
        <v>200</v>
      </c>
      <c r="B211" s="10"/>
      <c r="C211" s="61"/>
      <c r="D211" s="1" t="str">
        <f t="shared" si="22"/>
        <v xml:space="preserve">, </v>
      </c>
      <c r="E211" s="1">
        <f t="shared" si="23"/>
        <v>200</v>
      </c>
      <c r="F211" s="17"/>
      <c r="G211" s="18"/>
      <c r="H211" s="18"/>
      <c r="I211" s="85">
        <f t="shared" si="20"/>
        <v>0</v>
      </c>
      <c r="J211" s="23">
        <f t="shared" si="21"/>
        <v>0</v>
      </c>
      <c r="K211" s="26"/>
      <c r="L211" s="27">
        <f t="shared" si="19"/>
        <v>0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ht="20.100000000000001" customHeight="1" x14ac:dyDescent="0.2">
      <c r="A212" s="7">
        <v>201</v>
      </c>
      <c r="B212" s="8"/>
      <c r="C212" s="62"/>
      <c r="D212" s="1" t="str">
        <f t="shared" si="22"/>
        <v xml:space="preserve">, </v>
      </c>
      <c r="E212" s="1">
        <f t="shared" si="23"/>
        <v>201</v>
      </c>
      <c r="F212" s="15"/>
      <c r="G212" s="16"/>
      <c r="H212" s="16"/>
      <c r="I212" s="85">
        <f t="shared" si="20"/>
        <v>0</v>
      </c>
      <c r="J212" s="23">
        <f t="shared" si="21"/>
        <v>0</v>
      </c>
      <c r="K212" s="24"/>
      <c r="L212" s="25">
        <f t="shared" si="19"/>
        <v>0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1:23" ht="20.100000000000001" customHeight="1" x14ac:dyDescent="0.2">
      <c r="A213" s="9">
        <v>202</v>
      </c>
      <c r="B213" s="10"/>
      <c r="C213" s="61"/>
      <c r="D213" s="1" t="str">
        <f t="shared" si="22"/>
        <v xml:space="preserve">, </v>
      </c>
      <c r="E213" s="1">
        <f t="shared" si="23"/>
        <v>202</v>
      </c>
      <c r="F213" s="17"/>
      <c r="G213" s="18"/>
      <c r="H213" s="18"/>
      <c r="I213" s="85">
        <f t="shared" si="20"/>
        <v>0</v>
      </c>
      <c r="J213" s="23">
        <f t="shared" si="21"/>
        <v>0</v>
      </c>
      <c r="K213" s="26"/>
      <c r="L213" s="27">
        <f t="shared" si="19"/>
        <v>0</v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1:23" ht="20.100000000000001" customHeight="1" x14ac:dyDescent="0.2">
      <c r="A214" s="11">
        <v>203</v>
      </c>
      <c r="B214" s="12"/>
      <c r="C214" s="62"/>
      <c r="D214" s="1" t="str">
        <f t="shared" si="22"/>
        <v xml:space="preserve">, </v>
      </c>
      <c r="E214" s="1">
        <f t="shared" si="23"/>
        <v>203</v>
      </c>
      <c r="F214" s="19"/>
      <c r="G214" s="20"/>
      <c r="H214" s="20"/>
      <c r="I214" s="85">
        <f t="shared" si="20"/>
        <v>0</v>
      </c>
      <c r="J214" s="23">
        <f t="shared" si="21"/>
        <v>0</v>
      </c>
      <c r="K214" s="28"/>
      <c r="L214" s="27">
        <f t="shared" si="19"/>
        <v>0</v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1:23" ht="20.100000000000001" customHeight="1" x14ac:dyDescent="0.2">
      <c r="A215" s="9">
        <v>204</v>
      </c>
      <c r="B215" s="10"/>
      <c r="C215" s="61"/>
      <c r="D215" s="1" t="str">
        <f t="shared" si="22"/>
        <v xml:space="preserve">, </v>
      </c>
      <c r="E215" s="1">
        <f t="shared" si="23"/>
        <v>204</v>
      </c>
      <c r="F215" s="17"/>
      <c r="G215" s="18"/>
      <c r="H215" s="18"/>
      <c r="I215" s="85">
        <f t="shared" si="20"/>
        <v>0</v>
      </c>
      <c r="J215" s="23">
        <f t="shared" si="21"/>
        <v>0</v>
      </c>
      <c r="K215" s="26"/>
      <c r="L215" s="27">
        <f t="shared" si="19"/>
        <v>0</v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ht="20.100000000000001" customHeight="1" x14ac:dyDescent="0.2">
      <c r="A216" s="7">
        <v>205</v>
      </c>
      <c r="B216" s="8"/>
      <c r="C216" s="62"/>
      <c r="D216" s="1" t="str">
        <f t="shared" si="22"/>
        <v xml:space="preserve">, </v>
      </c>
      <c r="E216" s="1">
        <f t="shared" si="23"/>
        <v>205</v>
      </c>
      <c r="F216" s="15"/>
      <c r="G216" s="16"/>
      <c r="H216" s="16"/>
      <c r="I216" s="85">
        <f t="shared" si="20"/>
        <v>0</v>
      </c>
      <c r="J216" s="23">
        <f t="shared" si="21"/>
        <v>0</v>
      </c>
      <c r="K216" s="24"/>
      <c r="L216" s="25">
        <f t="shared" si="19"/>
        <v>0</v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ht="20.100000000000001" customHeight="1" x14ac:dyDescent="0.2">
      <c r="A217" s="9">
        <v>206</v>
      </c>
      <c r="B217" s="10"/>
      <c r="C217" s="61"/>
      <c r="D217" s="1" t="str">
        <f t="shared" si="22"/>
        <v xml:space="preserve">, </v>
      </c>
      <c r="E217" s="1">
        <f t="shared" si="23"/>
        <v>206</v>
      </c>
      <c r="F217" s="17"/>
      <c r="G217" s="18"/>
      <c r="H217" s="18"/>
      <c r="I217" s="85">
        <f t="shared" si="20"/>
        <v>0</v>
      </c>
      <c r="J217" s="23">
        <f t="shared" si="21"/>
        <v>0</v>
      </c>
      <c r="K217" s="26"/>
      <c r="L217" s="27">
        <f t="shared" si="19"/>
        <v>0</v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ht="20.100000000000001" customHeight="1" x14ac:dyDescent="0.2">
      <c r="A218" s="11">
        <v>207</v>
      </c>
      <c r="B218" s="12"/>
      <c r="C218" s="62"/>
      <c r="D218" s="1" t="str">
        <f t="shared" si="22"/>
        <v xml:space="preserve">, </v>
      </c>
      <c r="E218" s="1">
        <f t="shared" si="23"/>
        <v>207</v>
      </c>
      <c r="F218" s="19"/>
      <c r="G218" s="20"/>
      <c r="H218" s="20"/>
      <c r="I218" s="85">
        <f t="shared" si="20"/>
        <v>0</v>
      </c>
      <c r="J218" s="23">
        <f t="shared" si="21"/>
        <v>0</v>
      </c>
      <c r="K218" s="28"/>
      <c r="L218" s="27">
        <f t="shared" si="19"/>
        <v>0</v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ht="20.100000000000001" customHeight="1" x14ac:dyDescent="0.2">
      <c r="A219" s="9">
        <v>208</v>
      </c>
      <c r="B219" s="10"/>
      <c r="C219" s="61"/>
      <c r="D219" s="1" t="str">
        <f t="shared" si="22"/>
        <v xml:space="preserve">, </v>
      </c>
      <c r="E219" s="1">
        <f t="shared" si="23"/>
        <v>208</v>
      </c>
      <c r="F219" s="17"/>
      <c r="G219" s="18"/>
      <c r="H219" s="18"/>
      <c r="I219" s="85">
        <f t="shared" si="20"/>
        <v>0</v>
      </c>
      <c r="J219" s="23">
        <f t="shared" si="21"/>
        <v>0</v>
      </c>
      <c r="K219" s="26"/>
      <c r="L219" s="27">
        <f t="shared" si="19"/>
        <v>0</v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ht="20.100000000000001" customHeight="1" x14ac:dyDescent="0.2">
      <c r="A220" s="7">
        <v>209</v>
      </c>
      <c r="B220" s="8"/>
      <c r="C220" s="62"/>
      <c r="D220" s="1" t="str">
        <f t="shared" si="22"/>
        <v xml:space="preserve">, </v>
      </c>
      <c r="E220" s="1">
        <f t="shared" si="23"/>
        <v>209</v>
      </c>
      <c r="F220" s="15"/>
      <c r="G220" s="16"/>
      <c r="H220" s="16"/>
      <c r="I220" s="85">
        <f t="shared" si="20"/>
        <v>0</v>
      </c>
      <c r="J220" s="23">
        <f t="shared" si="21"/>
        <v>0</v>
      </c>
      <c r="K220" s="24"/>
      <c r="L220" s="25">
        <f t="shared" si="19"/>
        <v>0</v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ht="20.100000000000001" customHeight="1" x14ac:dyDescent="0.2">
      <c r="A221" s="9">
        <v>210</v>
      </c>
      <c r="B221" s="10"/>
      <c r="C221" s="61"/>
      <c r="D221" s="1" t="str">
        <f t="shared" si="22"/>
        <v xml:space="preserve">, </v>
      </c>
      <c r="E221" s="1">
        <f t="shared" si="23"/>
        <v>210</v>
      </c>
      <c r="F221" s="17"/>
      <c r="G221" s="18"/>
      <c r="H221" s="18"/>
      <c r="I221" s="85">
        <f t="shared" si="20"/>
        <v>0</v>
      </c>
      <c r="J221" s="23">
        <f t="shared" si="21"/>
        <v>0</v>
      </c>
      <c r="K221" s="26"/>
      <c r="L221" s="27">
        <f t="shared" si="19"/>
        <v>0</v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1:23" ht="20.100000000000001" customHeight="1" x14ac:dyDescent="0.2">
      <c r="A222" s="11">
        <v>211</v>
      </c>
      <c r="B222" s="12"/>
      <c r="C222" s="62"/>
      <c r="D222" s="1" t="str">
        <f t="shared" si="22"/>
        <v xml:space="preserve">, </v>
      </c>
      <c r="E222" s="1">
        <f t="shared" si="23"/>
        <v>211</v>
      </c>
      <c r="F222" s="19"/>
      <c r="G222" s="20"/>
      <c r="H222" s="20"/>
      <c r="I222" s="85">
        <f t="shared" si="20"/>
        <v>0</v>
      </c>
      <c r="J222" s="23">
        <f t="shared" si="21"/>
        <v>0</v>
      </c>
      <c r="K222" s="28"/>
      <c r="L222" s="27">
        <f t="shared" si="19"/>
        <v>0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1:23" ht="20.100000000000001" customHeight="1" x14ac:dyDescent="0.2">
      <c r="A223" s="9">
        <v>212</v>
      </c>
      <c r="B223" s="10"/>
      <c r="C223" s="61"/>
      <c r="D223" s="1" t="str">
        <f t="shared" si="22"/>
        <v xml:space="preserve">, </v>
      </c>
      <c r="E223" s="1">
        <f t="shared" si="23"/>
        <v>212</v>
      </c>
      <c r="F223" s="17"/>
      <c r="G223" s="18"/>
      <c r="H223" s="18"/>
      <c r="I223" s="85">
        <f t="shared" si="20"/>
        <v>0</v>
      </c>
      <c r="J223" s="23">
        <f t="shared" si="21"/>
        <v>0</v>
      </c>
      <c r="K223" s="26"/>
      <c r="L223" s="27">
        <f t="shared" si="19"/>
        <v>0</v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1:23" ht="20.100000000000001" customHeight="1" x14ac:dyDescent="0.2">
      <c r="A224" s="7">
        <v>213</v>
      </c>
      <c r="B224" s="8"/>
      <c r="C224" s="62"/>
      <c r="D224" s="1" t="str">
        <f t="shared" si="22"/>
        <v xml:space="preserve">, </v>
      </c>
      <c r="E224" s="1">
        <f t="shared" si="23"/>
        <v>213</v>
      </c>
      <c r="F224" s="15"/>
      <c r="G224" s="16"/>
      <c r="H224" s="16"/>
      <c r="I224" s="85">
        <f t="shared" si="20"/>
        <v>0</v>
      </c>
      <c r="J224" s="23">
        <f t="shared" si="21"/>
        <v>0</v>
      </c>
      <c r="K224" s="24"/>
      <c r="L224" s="25">
        <f t="shared" si="19"/>
        <v>0</v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ht="20.100000000000001" customHeight="1" x14ac:dyDescent="0.2">
      <c r="A225" s="9">
        <v>214</v>
      </c>
      <c r="B225" s="10"/>
      <c r="C225" s="61"/>
      <c r="D225" s="1" t="str">
        <f t="shared" si="22"/>
        <v xml:space="preserve">, </v>
      </c>
      <c r="E225" s="1">
        <f t="shared" si="23"/>
        <v>214</v>
      </c>
      <c r="F225" s="17"/>
      <c r="G225" s="18"/>
      <c r="H225" s="18"/>
      <c r="I225" s="85">
        <f t="shared" si="20"/>
        <v>0</v>
      </c>
      <c r="J225" s="23">
        <f t="shared" si="21"/>
        <v>0</v>
      </c>
      <c r="K225" s="26"/>
      <c r="L225" s="27">
        <f t="shared" si="19"/>
        <v>0</v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ht="20.100000000000001" customHeight="1" x14ac:dyDescent="0.2">
      <c r="A226" s="11">
        <v>215</v>
      </c>
      <c r="B226" s="12"/>
      <c r="C226" s="62"/>
      <c r="D226" s="1" t="str">
        <f t="shared" si="22"/>
        <v xml:space="preserve">, </v>
      </c>
      <c r="E226" s="1">
        <f t="shared" si="23"/>
        <v>215</v>
      </c>
      <c r="F226" s="19"/>
      <c r="G226" s="20"/>
      <c r="H226" s="20"/>
      <c r="I226" s="85">
        <f t="shared" si="20"/>
        <v>0</v>
      </c>
      <c r="J226" s="23">
        <f t="shared" si="21"/>
        <v>0</v>
      </c>
      <c r="K226" s="28"/>
      <c r="L226" s="27">
        <f t="shared" si="19"/>
        <v>0</v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ht="20.100000000000001" customHeight="1" x14ac:dyDescent="0.2">
      <c r="A227" s="9">
        <v>216</v>
      </c>
      <c r="B227" s="10"/>
      <c r="C227" s="61"/>
      <c r="D227" s="1" t="str">
        <f t="shared" si="22"/>
        <v xml:space="preserve">, </v>
      </c>
      <c r="E227" s="1">
        <f t="shared" si="23"/>
        <v>216</v>
      </c>
      <c r="F227" s="17"/>
      <c r="G227" s="18"/>
      <c r="H227" s="18"/>
      <c r="I227" s="85">
        <f t="shared" si="20"/>
        <v>0</v>
      </c>
      <c r="J227" s="23">
        <f t="shared" si="21"/>
        <v>0</v>
      </c>
      <c r="K227" s="26"/>
      <c r="L227" s="27">
        <f t="shared" si="19"/>
        <v>0</v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ht="20.100000000000001" customHeight="1" x14ac:dyDescent="0.2">
      <c r="A228" s="7">
        <v>217</v>
      </c>
      <c r="B228" s="8"/>
      <c r="C228" s="62"/>
      <c r="D228" s="1" t="str">
        <f t="shared" si="22"/>
        <v xml:space="preserve">, </v>
      </c>
      <c r="E228" s="1">
        <f t="shared" si="23"/>
        <v>217</v>
      </c>
      <c r="F228" s="15"/>
      <c r="G228" s="16"/>
      <c r="H228" s="16"/>
      <c r="I228" s="85">
        <f t="shared" si="20"/>
        <v>0</v>
      </c>
      <c r="J228" s="23">
        <f t="shared" si="21"/>
        <v>0</v>
      </c>
      <c r="K228" s="24"/>
      <c r="L228" s="25">
        <f t="shared" si="19"/>
        <v>0</v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ht="20.100000000000001" customHeight="1" x14ac:dyDescent="0.2">
      <c r="A229" s="9">
        <v>218</v>
      </c>
      <c r="B229" s="10"/>
      <c r="C229" s="61"/>
      <c r="D229" s="1" t="str">
        <f t="shared" si="22"/>
        <v xml:space="preserve">, </v>
      </c>
      <c r="E229" s="1">
        <f t="shared" si="23"/>
        <v>218</v>
      </c>
      <c r="F229" s="17"/>
      <c r="G229" s="18"/>
      <c r="H229" s="18"/>
      <c r="I229" s="85">
        <f t="shared" si="20"/>
        <v>0</v>
      </c>
      <c r="J229" s="23">
        <f t="shared" si="21"/>
        <v>0</v>
      </c>
      <c r="K229" s="26"/>
      <c r="L229" s="27">
        <f t="shared" si="19"/>
        <v>0</v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ht="20.100000000000001" customHeight="1" x14ac:dyDescent="0.2">
      <c r="A230" s="11">
        <v>219</v>
      </c>
      <c r="B230" s="12"/>
      <c r="C230" s="62"/>
      <c r="D230" s="1" t="str">
        <f t="shared" si="22"/>
        <v xml:space="preserve">, </v>
      </c>
      <c r="E230" s="1">
        <f t="shared" si="23"/>
        <v>219</v>
      </c>
      <c r="F230" s="19"/>
      <c r="G230" s="20"/>
      <c r="H230" s="20"/>
      <c r="I230" s="85">
        <f t="shared" si="20"/>
        <v>0</v>
      </c>
      <c r="J230" s="23">
        <f t="shared" si="21"/>
        <v>0</v>
      </c>
      <c r="K230" s="28"/>
      <c r="L230" s="27">
        <f t="shared" si="19"/>
        <v>0</v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ht="20.100000000000001" customHeight="1" x14ac:dyDescent="0.2">
      <c r="A231" s="9">
        <v>220</v>
      </c>
      <c r="B231" s="10"/>
      <c r="C231" s="61"/>
      <c r="D231" s="1" t="str">
        <f t="shared" si="22"/>
        <v xml:space="preserve">, </v>
      </c>
      <c r="E231" s="1">
        <f t="shared" si="23"/>
        <v>220</v>
      </c>
      <c r="F231" s="17"/>
      <c r="G231" s="18"/>
      <c r="H231" s="18"/>
      <c r="I231" s="85">
        <f t="shared" si="20"/>
        <v>0</v>
      </c>
      <c r="J231" s="23">
        <f t="shared" si="21"/>
        <v>0</v>
      </c>
      <c r="K231" s="26"/>
      <c r="L231" s="27">
        <f t="shared" si="19"/>
        <v>0</v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ht="20.100000000000001" customHeight="1" x14ac:dyDescent="0.2">
      <c r="A232" s="7">
        <v>221</v>
      </c>
      <c r="B232" s="8"/>
      <c r="C232" s="62"/>
      <c r="D232" s="1" t="str">
        <f t="shared" si="22"/>
        <v xml:space="preserve">, </v>
      </c>
      <c r="E232" s="1">
        <f t="shared" si="23"/>
        <v>221</v>
      </c>
      <c r="F232" s="15"/>
      <c r="G232" s="16"/>
      <c r="H232" s="16"/>
      <c r="I232" s="85">
        <f t="shared" si="20"/>
        <v>0</v>
      </c>
      <c r="J232" s="23">
        <f t="shared" si="21"/>
        <v>0</v>
      </c>
      <c r="K232" s="24"/>
      <c r="L232" s="25">
        <f t="shared" si="19"/>
        <v>0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ht="20.100000000000001" customHeight="1" x14ac:dyDescent="0.2">
      <c r="A233" s="9">
        <v>222</v>
      </c>
      <c r="B233" s="10"/>
      <c r="C233" s="61"/>
      <c r="D233" s="1" t="str">
        <f t="shared" si="22"/>
        <v xml:space="preserve">, </v>
      </c>
      <c r="E233" s="1">
        <f t="shared" si="23"/>
        <v>222</v>
      </c>
      <c r="F233" s="17"/>
      <c r="G233" s="18"/>
      <c r="H233" s="18"/>
      <c r="I233" s="85">
        <f t="shared" si="20"/>
        <v>0</v>
      </c>
      <c r="J233" s="23">
        <f t="shared" si="21"/>
        <v>0</v>
      </c>
      <c r="K233" s="26"/>
      <c r="L233" s="27">
        <f t="shared" si="19"/>
        <v>0</v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ht="20.100000000000001" customHeight="1" x14ac:dyDescent="0.2">
      <c r="A234" s="11">
        <v>223</v>
      </c>
      <c r="B234" s="12"/>
      <c r="C234" s="62"/>
      <c r="D234" s="1" t="str">
        <f t="shared" si="22"/>
        <v xml:space="preserve">, </v>
      </c>
      <c r="E234" s="1">
        <f t="shared" si="23"/>
        <v>223</v>
      </c>
      <c r="F234" s="19"/>
      <c r="G234" s="20"/>
      <c r="H234" s="20"/>
      <c r="I234" s="85">
        <f t="shared" si="20"/>
        <v>0</v>
      </c>
      <c r="J234" s="23">
        <f t="shared" si="21"/>
        <v>0</v>
      </c>
      <c r="K234" s="28"/>
      <c r="L234" s="27">
        <f t="shared" si="19"/>
        <v>0</v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ht="20.100000000000001" customHeight="1" x14ac:dyDescent="0.2">
      <c r="A235" s="9">
        <v>224</v>
      </c>
      <c r="B235" s="10"/>
      <c r="C235" s="61"/>
      <c r="D235" s="1" t="str">
        <f t="shared" si="22"/>
        <v xml:space="preserve">, </v>
      </c>
      <c r="E235" s="1">
        <f t="shared" si="23"/>
        <v>224</v>
      </c>
      <c r="F235" s="17"/>
      <c r="G235" s="18"/>
      <c r="H235" s="18"/>
      <c r="I235" s="85">
        <f t="shared" si="20"/>
        <v>0</v>
      </c>
      <c r="J235" s="23">
        <f t="shared" si="21"/>
        <v>0</v>
      </c>
      <c r="K235" s="26"/>
      <c r="L235" s="27">
        <f t="shared" si="19"/>
        <v>0</v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ht="20.100000000000001" customHeight="1" x14ac:dyDescent="0.2">
      <c r="A236" s="7">
        <v>225</v>
      </c>
      <c r="B236" s="8"/>
      <c r="C236" s="62"/>
      <c r="D236" s="1" t="str">
        <f t="shared" si="22"/>
        <v xml:space="preserve">, </v>
      </c>
      <c r="E236" s="1">
        <f t="shared" si="23"/>
        <v>225</v>
      </c>
      <c r="F236" s="15"/>
      <c r="G236" s="16"/>
      <c r="H236" s="16"/>
      <c r="I236" s="85">
        <f t="shared" si="20"/>
        <v>0</v>
      </c>
      <c r="J236" s="23">
        <f t="shared" si="21"/>
        <v>0</v>
      </c>
      <c r="K236" s="24"/>
      <c r="L236" s="25">
        <f t="shared" si="19"/>
        <v>0</v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1:23" ht="20.100000000000001" customHeight="1" x14ac:dyDescent="0.2">
      <c r="A237" s="9">
        <v>226</v>
      </c>
      <c r="B237" s="10"/>
      <c r="C237" s="61"/>
      <c r="D237" s="1" t="str">
        <f t="shared" si="22"/>
        <v xml:space="preserve">, </v>
      </c>
      <c r="E237" s="1">
        <f t="shared" si="23"/>
        <v>226</v>
      </c>
      <c r="F237" s="17"/>
      <c r="G237" s="18"/>
      <c r="H237" s="18"/>
      <c r="I237" s="85">
        <f t="shared" si="20"/>
        <v>0</v>
      </c>
      <c r="J237" s="23">
        <f t="shared" si="21"/>
        <v>0</v>
      </c>
      <c r="K237" s="26"/>
      <c r="L237" s="27">
        <f t="shared" si="19"/>
        <v>0</v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1:23" ht="20.100000000000001" customHeight="1" x14ac:dyDescent="0.2">
      <c r="A238" s="11">
        <v>227</v>
      </c>
      <c r="B238" s="12"/>
      <c r="C238" s="62"/>
      <c r="D238" s="1" t="str">
        <f t="shared" si="22"/>
        <v xml:space="preserve">, </v>
      </c>
      <c r="E238" s="1">
        <f t="shared" si="23"/>
        <v>227</v>
      </c>
      <c r="F238" s="19"/>
      <c r="G238" s="20"/>
      <c r="H238" s="20"/>
      <c r="I238" s="85">
        <f t="shared" si="20"/>
        <v>0</v>
      </c>
      <c r="J238" s="23">
        <f t="shared" si="21"/>
        <v>0</v>
      </c>
      <c r="K238" s="28"/>
      <c r="L238" s="27">
        <f t="shared" si="19"/>
        <v>0</v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1:23" ht="20.100000000000001" customHeight="1" x14ac:dyDescent="0.2">
      <c r="A239" s="9">
        <v>228</v>
      </c>
      <c r="B239" s="10"/>
      <c r="C239" s="61"/>
      <c r="D239" s="1" t="str">
        <f t="shared" si="22"/>
        <v xml:space="preserve">, </v>
      </c>
      <c r="E239" s="1">
        <f t="shared" si="23"/>
        <v>228</v>
      </c>
      <c r="F239" s="17"/>
      <c r="G239" s="18"/>
      <c r="H239" s="18"/>
      <c r="I239" s="85">
        <f t="shared" si="20"/>
        <v>0</v>
      </c>
      <c r="J239" s="23">
        <f t="shared" si="21"/>
        <v>0</v>
      </c>
      <c r="K239" s="26"/>
      <c r="L239" s="27">
        <f t="shared" si="19"/>
        <v>0</v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1:23" ht="20.100000000000001" customHeight="1" x14ac:dyDescent="0.2">
      <c r="A240" s="7">
        <v>229</v>
      </c>
      <c r="B240" s="8"/>
      <c r="C240" s="62"/>
      <c r="D240" s="1" t="str">
        <f t="shared" si="22"/>
        <v xml:space="preserve">, </v>
      </c>
      <c r="E240" s="1">
        <f t="shared" si="23"/>
        <v>229</v>
      </c>
      <c r="F240" s="15"/>
      <c r="G240" s="16"/>
      <c r="H240" s="16"/>
      <c r="I240" s="85">
        <f t="shared" si="20"/>
        <v>0</v>
      </c>
      <c r="J240" s="23">
        <f t="shared" si="21"/>
        <v>0</v>
      </c>
      <c r="K240" s="24"/>
      <c r="L240" s="25">
        <f t="shared" si="19"/>
        <v>0</v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1:23" ht="20.100000000000001" customHeight="1" x14ac:dyDescent="0.2">
      <c r="A241" s="9">
        <v>230</v>
      </c>
      <c r="B241" s="10"/>
      <c r="C241" s="61"/>
      <c r="D241" s="1" t="str">
        <f t="shared" si="22"/>
        <v xml:space="preserve">, </v>
      </c>
      <c r="E241" s="1">
        <f t="shared" si="23"/>
        <v>230</v>
      </c>
      <c r="F241" s="17"/>
      <c r="G241" s="18"/>
      <c r="H241" s="18"/>
      <c r="I241" s="85">
        <f t="shared" si="20"/>
        <v>0</v>
      </c>
      <c r="J241" s="23">
        <f t="shared" si="21"/>
        <v>0</v>
      </c>
      <c r="K241" s="26"/>
      <c r="L241" s="27">
        <f t="shared" si="19"/>
        <v>0</v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1:23" ht="20.100000000000001" customHeight="1" x14ac:dyDescent="0.2">
      <c r="A242" s="11">
        <v>231</v>
      </c>
      <c r="B242" s="12"/>
      <c r="C242" s="62"/>
      <c r="D242" s="1" t="str">
        <f t="shared" si="22"/>
        <v xml:space="preserve">, </v>
      </c>
      <c r="E242" s="1">
        <f t="shared" si="23"/>
        <v>231</v>
      </c>
      <c r="F242" s="19"/>
      <c r="G242" s="20"/>
      <c r="H242" s="20"/>
      <c r="I242" s="85">
        <f t="shared" si="20"/>
        <v>0</v>
      </c>
      <c r="J242" s="23">
        <f t="shared" si="21"/>
        <v>0</v>
      </c>
      <c r="K242" s="28"/>
      <c r="L242" s="27">
        <f t="shared" si="19"/>
        <v>0</v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23" ht="20.100000000000001" customHeight="1" x14ac:dyDescent="0.2">
      <c r="A243" s="9">
        <v>232</v>
      </c>
      <c r="B243" s="10"/>
      <c r="C243" s="61"/>
      <c r="D243" s="1" t="str">
        <f t="shared" si="22"/>
        <v xml:space="preserve">, </v>
      </c>
      <c r="E243" s="1">
        <f t="shared" si="23"/>
        <v>232</v>
      </c>
      <c r="F243" s="17"/>
      <c r="G243" s="18"/>
      <c r="H243" s="18"/>
      <c r="I243" s="85">
        <f t="shared" si="20"/>
        <v>0</v>
      </c>
      <c r="J243" s="23">
        <f t="shared" si="21"/>
        <v>0</v>
      </c>
      <c r="K243" s="26"/>
      <c r="L243" s="27">
        <f t="shared" si="19"/>
        <v>0</v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1:23" ht="20.100000000000001" customHeight="1" x14ac:dyDescent="0.2">
      <c r="A244" s="7">
        <v>233</v>
      </c>
      <c r="B244" s="8"/>
      <c r="C244" s="62"/>
      <c r="D244" s="1" t="str">
        <f t="shared" si="22"/>
        <v xml:space="preserve">, </v>
      </c>
      <c r="E244" s="1">
        <f t="shared" si="23"/>
        <v>233</v>
      </c>
      <c r="F244" s="15"/>
      <c r="G244" s="16"/>
      <c r="H244" s="16"/>
      <c r="I244" s="85">
        <f t="shared" si="20"/>
        <v>0</v>
      </c>
      <c r="J244" s="23">
        <f t="shared" si="21"/>
        <v>0</v>
      </c>
      <c r="K244" s="24"/>
      <c r="L244" s="25">
        <f t="shared" si="19"/>
        <v>0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1:23" ht="20.100000000000001" customHeight="1" x14ac:dyDescent="0.2">
      <c r="A245" s="9">
        <v>234</v>
      </c>
      <c r="B245" s="10"/>
      <c r="C245" s="61"/>
      <c r="D245" s="1" t="str">
        <f t="shared" si="22"/>
        <v xml:space="preserve">, </v>
      </c>
      <c r="E245" s="1">
        <f t="shared" si="23"/>
        <v>234</v>
      </c>
      <c r="F245" s="17"/>
      <c r="G245" s="18"/>
      <c r="H245" s="18"/>
      <c r="I245" s="85">
        <f t="shared" si="20"/>
        <v>0</v>
      </c>
      <c r="J245" s="23">
        <f t="shared" si="21"/>
        <v>0</v>
      </c>
      <c r="K245" s="26"/>
      <c r="L245" s="27">
        <f t="shared" si="19"/>
        <v>0</v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1:23" ht="20.100000000000001" customHeight="1" x14ac:dyDescent="0.2">
      <c r="A246" s="11">
        <v>235</v>
      </c>
      <c r="B246" s="12"/>
      <c r="C246" s="62"/>
      <c r="D246" s="1" t="str">
        <f t="shared" si="22"/>
        <v xml:space="preserve">, </v>
      </c>
      <c r="E246" s="1">
        <f t="shared" si="23"/>
        <v>235</v>
      </c>
      <c r="F246" s="19"/>
      <c r="G246" s="20"/>
      <c r="H246" s="20"/>
      <c r="I246" s="85">
        <f t="shared" si="20"/>
        <v>0</v>
      </c>
      <c r="J246" s="23">
        <f t="shared" si="21"/>
        <v>0</v>
      </c>
      <c r="K246" s="28"/>
      <c r="L246" s="27">
        <f t="shared" si="19"/>
        <v>0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1:23" ht="20.100000000000001" customHeight="1" x14ac:dyDescent="0.2">
      <c r="A247" s="9">
        <v>236</v>
      </c>
      <c r="B247" s="10"/>
      <c r="C247" s="61"/>
      <c r="D247" s="1" t="str">
        <f t="shared" si="22"/>
        <v xml:space="preserve">, </v>
      </c>
      <c r="E247" s="1">
        <f t="shared" si="23"/>
        <v>236</v>
      </c>
      <c r="F247" s="17"/>
      <c r="G247" s="18"/>
      <c r="H247" s="18"/>
      <c r="I247" s="85">
        <f t="shared" si="20"/>
        <v>0</v>
      </c>
      <c r="J247" s="23">
        <f t="shared" si="21"/>
        <v>0</v>
      </c>
      <c r="K247" s="26"/>
      <c r="L247" s="27">
        <f t="shared" si="19"/>
        <v>0</v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1:23" ht="20.100000000000001" customHeight="1" x14ac:dyDescent="0.2">
      <c r="A248" s="7">
        <v>237</v>
      </c>
      <c r="B248" s="8"/>
      <c r="C248" s="62"/>
      <c r="D248" s="1" t="str">
        <f t="shared" si="22"/>
        <v xml:space="preserve">, </v>
      </c>
      <c r="E248" s="1">
        <f t="shared" si="23"/>
        <v>237</v>
      </c>
      <c r="F248" s="15"/>
      <c r="G248" s="16"/>
      <c r="H248" s="16"/>
      <c r="I248" s="85">
        <f t="shared" si="20"/>
        <v>0</v>
      </c>
      <c r="J248" s="23">
        <f t="shared" si="21"/>
        <v>0</v>
      </c>
      <c r="K248" s="24"/>
      <c r="L248" s="25">
        <f t="shared" si="19"/>
        <v>0</v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1:23" ht="20.100000000000001" customHeight="1" x14ac:dyDescent="0.2">
      <c r="A249" s="9">
        <v>238</v>
      </c>
      <c r="B249" s="10"/>
      <c r="C249" s="61"/>
      <c r="D249" s="1" t="str">
        <f t="shared" si="22"/>
        <v xml:space="preserve">, </v>
      </c>
      <c r="E249" s="1">
        <f t="shared" si="23"/>
        <v>238</v>
      </c>
      <c r="F249" s="17"/>
      <c r="G249" s="18"/>
      <c r="H249" s="18"/>
      <c r="I249" s="85">
        <f t="shared" si="20"/>
        <v>0</v>
      </c>
      <c r="J249" s="23">
        <f t="shared" si="21"/>
        <v>0</v>
      </c>
      <c r="K249" s="26"/>
      <c r="L249" s="27">
        <f t="shared" si="19"/>
        <v>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1:23" ht="20.100000000000001" customHeight="1" x14ac:dyDescent="0.2">
      <c r="A250" s="11">
        <v>239</v>
      </c>
      <c r="B250" s="12"/>
      <c r="C250" s="62"/>
      <c r="D250" s="1" t="str">
        <f t="shared" si="22"/>
        <v xml:space="preserve">, </v>
      </c>
      <c r="E250" s="1">
        <f t="shared" si="23"/>
        <v>239</v>
      </c>
      <c r="F250" s="19"/>
      <c r="G250" s="20"/>
      <c r="H250" s="20"/>
      <c r="I250" s="85">
        <f t="shared" si="20"/>
        <v>0</v>
      </c>
      <c r="J250" s="23">
        <f t="shared" si="21"/>
        <v>0</v>
      </c>
      <c r="K250" s="28"/>
      <c r="L250" s="27">
        <f t="shared" si="19"/>
        <v>0</v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1:23" ht="20.100000000000001" customHeight="1" x14ac:dyDescent="0.2">
      <c r="A251" s="9">
        <v>240</v>
      </c>
      <c r="B251" s="10"/>
      <c r="C251" s="61"/>
      <c r="D251" s="1" t="str">
        <f t="shared" si="22"/>
        <v xml:space="preserve">, </v>
      </c>
      <c r="E251" s="1">
        <f t="shared" si="23"/>
        <v>240</v>
      </c>
      <c r="F251" s="17"/>
      <c r="G251" s="18"/>
      <c r="H251" s="18"/>
      <c r="I251" s="85">
        <f t="shared" si="20"/>
        <v>0</v>
      </c>
      <c r="J251" s="23">
        <f t="shared" si="21"/>
        <v>0</v>
      </c>
      <c r="K251" s="26"/>
      <c r="L251" s="27">
        <f t="shared" si="19"/>
        <v>0</v>
      </c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1:23" ht="20.100000000000001" customHeight="1" x14ac:dyDescent="0.2">
      <c r="A252" s="7">
        <v>241</v>
      </c>
      <c r="B252" s="8"/>
      <c r="C252" s="62"/>
      <c r="D252" s="1" t="str">
        <f t="shared" si="22"/>
        <v xml:space="preserve">, </v>
      </c>
      <c r="E252" s="1">
        <f t="shared" si="23"/>
        <v>241</v>
      </c>
      <c r="F252" s="15"/>
      <c r="G252" s="16"/>
      <c r="H252" s="16"/>
      <c r="I252" s="85">
        <f t="shared" si="20"/>
        <v>0</v>
      </c>
      <c r="J252" s="23">
        <f t="shared" si="21"/>
        <v>0</v>
      </c>
      <c r="K252" s="24"/>
      <c r="L252" s="25">
        <f t="shared" si="19"/>
        <v>0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1:23" ht="20.100000000000001" customHeight="1" x14ac:dyDescent="0.2">
      <c r="A253" s="9">
        <v>242</v>
      </c>
      <c r="B253" s="10"/>
      <c r="C253" s="61"/>
      <c r="D253" s="1" t="str">
        <f t="shared" si="22"/>
        <v xml:space="preserve">, </v>
      </c>
      <c r="E253" s="1">
        <f t="shared" si="23"/>
        <v>242</v>
      </c>
      <c r="F253" s="17"/>
      <c r="G253" s="18"/>
      <c r="H253" s="18"/>
      <c r="I253" s="85">
        <f t="shared" si="20"/>
        <v>0</v>
      </c>
      <c r="J253" s="23">
        <f t="shared" si="21"/>
        <v>0</v>
      </c>
      <c r="K253" s="26"/>
      <c r="L253" s="27">
        <f t="shared" si="19"/>
        <v>0</v>
      </c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1:23" ht="20.100000000000001" customHeight="1" x14ac:dyDescent="0.2">
      <c r="A254" s="11">
        <v>243</v>
      </c>
      <c r="B254" s="12"/>
      <c r="C254" s="62"/>
      <c r="D254" s="1" t="str">
        <f t="shared" si="22"/>
        <v xml:space="preserve">, </v>
      </c>
      <c r="E254" s="1">
        <f t="shared" si="23"/>
        <v>243</v>
      </c>
      <c r="F254" s="19"/>
      <c r="G254" s="20"/>
      <c r="H254" s="20"/>
      <c r="I254" s="85">
        <f t="shared" si="20"/>
        <v>0</v>
      </c>
      <c r="J254" s="23">
        <f t="shared" si="21"/>
        <v>0</v>
      </c>
      <c r="K254" s="28"/>
      <c r="L254" s="27">
        <f t="shared" si="19"/>
        <v>0</v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1:23" ht="20.100000000000001" customHeight="1" x14ac:dyDescent="0.2">
      <c r="A255" s="9">
        <v>244</v>
      </c>
      <c r="B255" s="10"/>
      <c r="C255" s="61"/>
      <c r="D255" s="1" t="str">
        <f t="shared" si="22"/>
        <v xml:space="preserve">, </v>
      </c>
      <c r="E255" s="1">
        <f t="shared" si="23"/>
        <v>244</v>
      </c>
      <c r="F255" s="17"/>
      <c r="G255" s="18"/>
      <c r="H255" s="18"/>
      <c r="I255" s="85">
        <f t="shared" si="20"/>
        <v>0</v>
      </c>
      <c r="J255" s="23">
        <f t="shared" si="21"/>
        <v>0</v>
      </c>
      <c r="K255" s="26"/>
      <c r="L255" s="27">
        <f t="shared" si="19"/>
        <v>0</v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1:23" ht="20.100000000000001" customHeight="1" x14ac:dyDescent="0.2">
      <c r="A256" s="7">
        <v>245</v>
      </c>
      <c r="B256" s="8"/>
      <c r="C256" s="62"/>
      <c r="D256" s="1" t="str">
        <f t="shared" si="22"/>
        <v xml:space="preserve">, </v>
      </c>
      <c r="E256" s="1">
        <f t="shared" si="23"/>
        <v>245</v>
      </c>
      <c r="F256" s="15"/>
      <c r="G256" s="16"/>
      <c r="H256" s="16"/>
      <c r="I256" s="85">
        <f t="shared" si="20"/>
        <v>0</v>
      </c>
      <c r="J256" s="23">
        <f t="shared" si="21"/>
        <v>0</v>
      </c>
      <c r="K256" s="24"/>
      <c r="L256" s="25">
        <f t="shared" si="19"/>
        <v>0</v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1:23" ht="20.100000000000001" customHeight="1" x14ac:dyDescent="0.2">
      <c r="A257" s="9">
        <v>246</v>
      </c>
      <c r="B257" s="10"/>
      <c r="C257" s="61"/>
      <c r="D257" s="1" t="str">
        <f t="shared" si="22"/>
        <v xml:space="preserve">, </v>
      </c>
      <c r="E257" s="1">
        <f t="shared" si="23"/>
        <v>246</v>
      </c>
      <c r="F257" s="17"/>
      <c r="G257" s="18"/>
      <c r="H257" s="18"/>
      <c r="I257" s="85">
        <f t="shared" si="20"/>
        <v>0</v>
      </c>
      <c r="J257" s="23">
        <f t="shared" si="21"/>
        <v>0</v>
      </c>
      <c r="K257" s="26"/>
      <c r="L257" s="27">
        <f t="shared" si="19"/>
        <v>0</v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1:23" ht="20.100000000000001" customHeight="1" x14ac:dyDescent="0.2">
      <c r="A258" s="11">
        <v>247</v>
      </c>
      <c r="B258" s="12"/>
      <c r="C258" s="62"/>
      <c r="D258" s="1" t="str">
        <f t="shared" si="22"/>
        <v xml:space="preserve">, </v>
      </c>
      <c r="E258" s="1">
        <f t="shared" si="23"/>
        <v>247</v>
      </c>
      <c r="F258" s="19"/>
      <c r="G258" s="20"/>
      <c r="H258" s="20"/>
      <c r="I258" s="85">
        <f t="shared" si="20"/>
        <v>0</v>
      </c>
      <c r="J258" s="23">
        <f t="shared" si="21"/>
        <v>0</v>
      </c>
      <c r="K258" s="28"/>
      <c r="L258" s="27">
        <f t="shared" si="19"/>
        <v>0</v>
      </c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1:23" ht="20.100000000000001" customHeight="1" x14ac:dyDescent="0.2">
      <c r="A259" s="9">
        <v>248</v>
      </c>
      <c r="B259" s="10"/>
      <c r="C259" s="61"/>
      <c r="D259" s="1" t="str">
        <f t="shared" si="22"/>
        <v xml:space="preserve">, </v>
      </c>
      <c r="E259" s="1">
        <f t="shared" si="23"/>
        <v>248</v>
      </c>
      <c r="F259" s="17"/>
      <c r="G259" s="18"/>
      <c r="H259" s="18"/>
      <c r="I259" s="85">
        <f t="shared" si="20"/>
        <v>0</v>
      </c>
      <c r="J259" s="23">
        <f t="shared" si="21"/>
        <v>0</v>
      </c>
      <c r="K259" s="26"/>
      <c r="L259" s="27">
        <f t="shared" si="19"/>
        <v>0</v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1:23" ht="20.100000000000001" customHeight="1" x14ac:dyDescent="0.2">
      <c r="A260" s="7">
        <v>249</v>
      </c>
      <c r="B260" s="8"/>
      <c r="C260" s="62"/>
      <c r="D260" s="1" t="str">
        <f t="shared" si="22"/>
        <v xml:space="preserve">, </v>
      </c>
      <c r="E260" s="1">
        <f t="shared" si="23"/>
        <v>249</v>
      </c>
      <c r="F260" s="15"/>
      <c r="G260" s="16"/>
      <c r="H260" s="16"/>
      <c r="I260" s="85">
        <f t="shared" si="20"/>
        <v>0</v>
      </c>
      <c r="J260" s="23">
        <f t="shared" si="21"/>
        <v>0</v>
      </c>
      <c r="K260" s="24"/>
      <c r="L260" s="25">
        <f t="shared" ref="L260:L323" si="24">J260-K260</f>
        <v>0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1:23" ht="20.100000000000001" customHeight="1" x14ac:dyDescent="0.2">
      <c r="A261" s="9">
        <v>250</v>
      </c>
      <c r="B261" s="10"/>
      <c r="C261" s="61"/>
      <c r="D261" s="1" t="str">
        <f t="shared" si="22"/>
        <v xml:space="preserve">, </v>
      </c>
      <c r="E261" s="1">
        <f t="shared" si="23"/>
        <v>250</v>
      </c>
      <c r="F261" s="17"/>
      <c r="G261" s="18"/>
      <c r="H261" s="18"/>
      <c r="I261" s="85">
        <f t="shared" si="20"/>
        <v>0</v>
      </c>
      <c r="J261" s="23">
        <f t="shared" si="21"/>
        <v>0</v>
      </c>
      <c r="K261" s="26"/>
      <c r="L261" s="27">
        <f t="shared" si="24"/>
        <v>0</v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1:23" ht="20.100000000000001" customHeight="1" x14ac:dyDescent="0.2">
      <c r="A262" s="11">
        <v>251</v>
      </c>
      <c r="B262" s="12"/>
      <c r="C262" s="62"/>
      <c r="D262" s="1" t="str">
        <f t="shared" si="22"/>
        <v xml:space="preserve">, </v>
      </c>
      <c r="E262" s="1">
        <f t="shared" si="23"/>
        <v>251</v>
      </c>
      <c r="F262" s="19"/>
      <c r="G262" s="20"/>
      <c r="H262" s="20"/>
      <c r="I262" s="85">
        <f t="shared" si="20"/>
        <v>0</v>
      </c>
      <c r="J262" s="23">
        <f t="shared" si="21"/>
        <v>0</v>
      </c>
      <c r="K262" s="28"/>
      <c r="L262" s="27">
        <f t="shared" si="24"/>
        <v>0</v>
      </c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1:23" ht="20.100000000000001" customHeight="1" x14ac:dyDescent="0.2">
      <c r="A263" s="9">
        <v>252</v>
      </c>
      <c r="B263" s="10"/>
      <c r="C263" s="61"/>
      <c r="D263" s="1" t="str">
        <f t="shared" si="22"/>
        <v xml:space="preserve">, </v>
      </c>
      <c r="E263" s="1">
        <f t="shared" si="23"/>
        <v>252</v>
      </c>
      <c r="F263" s="17"/>
      <c r="G263" s="18"/>
      <c r="H263" s="18"/>
      <c r="I263" s="85">
        <f t="shared" si="20"/>
        <v>0</v>
      </c>
      <c r="J263" s="23">
        <f t="shared" si="21"/>
        <v>0</v>
      </c>
      <c r="K263" s="26"/>
      <c r="L263" s="27">
        <f t="shared" si="24"/>
        <v>0</v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1:23" ht="20.100000000000001" customHeight="1" x14ac:dyDescent="0.2">
      <c r="A264" s="7">
        <v>253</v>
      </c>
      <c r="B264" s="8"/>
      <c r="C264" s="62"/>
      <c r="D264" s="1" t="str">
        <f t="shared" si="22"/>
        <v xml:space="preserve">, </v>
      </c>
      <c r="E264" s="1">
        <f t="shared" si="23"/>
        <v>253</v>
      </c>
      <c r="F264" s="15"/>
      <c r="G264" s="16"/>
      <c r="H264" s="16"/>
      <c r="I264" s="85">
        <f t="shared" si="20"/>
        <v>0</v>
      </c>
      <c r="J264" s="23">
        <f t="shared" si="21"/>
        <v>0</v>
      </c>
      <c r="K264" s="24"/>
      <c r="L264" s="25">
        <f t="shared" si="24"/>
        <v>0</v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1:23" ht="20.100000000000001" customHeight="1" x14ac:dyDescent="0.2">
      <c r="A265" s="9">
        <v>254</v>
      </c>
      <c r="B265" s="10"/>
      <c r="C265" s="61"/>
      <c r="D265" s="1" t="str">
        <f t="shared" si="22"/>
        <v xml:space="preserve">, </v>
      </c>
      <c r="E265" s="1">
        <f t="shared" si="23"/>
        <v>254</v>
      </c>
      <c r="F265" s="17"/>
      <c r="G265" s="18"/>
      <c r="H265" s="18"/>
      <c r="I265" s="85">
        <f t="shared" si="20"/>
        <v>0</v>
      </c>
      <c r="J265" s="23">
        <f t="shared" si="21"/>
        <v>0</v>
      </c>
      <c r="K265" s="26"/>
      <c r="L265" s="27">
        <f t="shared" si="24"/>
        <v>0</v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1:23" ht="20.100000000000001" customHeight="1" x14ac:dyDescent="0.2">
      <c r="A266" s="11">
        <v>255</v>
      </c>
      <c r="B266" s="12"/>
      <c r="C266" s="62"/>
      <c r="D266" s="1" t="str">
        <f t="shared" si="22"/>
        <v xml:space="preserve">, </v>
      </c>
      <c r="E266" s="1">
        <f t="shared" si="23"/>
        <v>255</v>
      </c>
      <c r="F266" s="19"/>
      <c r="G266" s="20"/>
      <c r="H266" s="20"/>
      <c r="I266" s="85">
        <f t="shared" si="20"/>
        <v>0</v>
      </c>
      <c r="J266" s="23">
        <f t="shared" si="21"/>
        <v>0</v>
      </c>
      <c r="K266" s="28"/>
      <c r="L266" s="27">
        <f t="shared" si="24"/>
        <v>0</v>
      </c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1:23" ht="20.100000000000001" customHeight="1" x14ac:dyDescent="0.2">
      <c r="A267" s="9">
        <v>256</v>
      </c>
      <c r="B267" s="10"/>
      <c r="C267" s="61"/>
      <c r="D267" s="1" t="str">
        <f t="shared" si="22"/>
        <v xml:space="preserve">, </v>
      </c>
      <c r="E267" s="1">
        <f t="shared" si="23"/>
        <v>256</v>
      </c>
      <c r="F267" s="17"/>
      <c r="G267" s="18"/>
      <c r="H267" s="18"/>
      <c r="I267" s="85">
        <f t="shared" si="20"/>
        <v>0</v>
      </c>
      <c r="J267" s="23">
        <f t="shared" si="21"/>
        <v>0</v>
      </c>
      <c r="K267" s="26"/>
      <c r="L267" s="27">
        <f t="shared" si="24"/>
        <v>0</v>
      </c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1:23" ht="20.100000000000001" customHeight="1" x14ac:dyDescent="0.2">
      <c r="A268" s="7">
        <v>257</v>
      </c>
      <c r="B268" s="8"/>
      <c r="C268" s="62"/>
      <c r="D268" s="1" t="str">
        <f t="shared" si="22"/>
        <v xml:space="preserve">, </v>
      </c>
      <c r="E268" s="1">
        <f t="shared" si="23"/>
        <v>257</v>
      </c>
      <c r="F268" s="15"/>
      <c r="G268" s="16"/>
      <c r="H268" s="16"/>
      <c r="I268" s="85">
        <f t="shared" ref="I268:I331" si="25">SUM(F268:H268)</f>
        <v>0</v>
      </c>
      <c r="J268" s="23">
        <f t="shared" ref="J268:J331" si="26">IFERROR(I268*$F$3,0)</f>
        <v>0</v>
      </c>
      <c r="K268" s="24"/>
      <c r="L268" s="25">
        <f t="shared" si="24"/>
        <v>0</v>
      </c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1:23" ht="20.100000000000001" customHeight="1" x14ac:dyDescent="0.2">
      <c r="A269" s="9">
        <v>258</v>
      </c>
      <c r="B269" s="10"/>
      <c r="C269" s="61"/>
      <c r="D269" s="1" t="str">
        <f t="shared" ref="D269:D332" si="27">CONCATENATE(C269,", ",B269)</f>
        <v xml:space="preserve">, </v>
      </c>
      <c r="E269" s="1">
        <f t="shared" ref="E269:E332" si="28">A269</f>
        <v>258</v>
      </c>
      <c r="F269" s="17"/>
      <c r="G269" s="18"/>
      <c r="H269" s="18"/>
      <c r="I269" s="85">
        <f t="shared" si="25"/>
        <v>0</v>
      </c>
      <c r="J269" s="23">
        <f t="shared" si="26"/>
        <v>0</v>
      </c>
      <c r="K269" s="26"/>
      <c r="L269" s="27">
        <f t="shared" si="24"/>
        <v>0</v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1:23" ht="20.100000000000001" customHeight="1" x14ac:dyDescent="0.2">
      <c r="A270" s="11">
        <v>259</v>
      </c>
      <c r="B270" s="12"/>
      <c r="C270" s="62"/>
      <c r="D270" s="1" t="str">
        <f t="shared" si="27"/>
        <v xml:space="preserve">, </v>
      </c>
      <c r="E270" s="1">
        <f t="shared" si="28"/>
        <v>259</v>
      </c>
      <c r="F270" s="19"/>
      <c r="G270" s="20"/>
      <c r="H270" s="20"/>
      <c r="I270" s="85">
        <f t="shared" si="25"/>
        <v>0</v>
      </c>
      <c r="J270" s="23">
        <f t="shared" si="26"/>
        <v>0</v>
      </c>
      <c r="K270" s="28"/>
      <c r="L270" s="27">
        <f t="shared" si="24"/>
        <v>0</v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1:23" ht="20.100000000000001" customHeight="1" x14ac:dyDescent="0.2">
      <c r="A271" s="9">
        <v>260</v>
      </c>
      <c r="B271" s="10"/>
      <c r="C271" s="61"/>
      <c r="D271" s="1" t="str">
        <f t="shared" si="27"/>
        <v xml:space="preserve">, </v>
      </c>
      <c r="E271" s="1">
        <f t="shared" si="28"/>
        <v>260</v>
      </c>
      <c r="F271" s="17"/>
      <c r="G271" s="18"/>
      <c r="H271" s="18"/>
      <c r="I271" s="85">
        <f t="shared" si="25"/>
        <v>0</v>
      </c>
      <c r="J271" s="23">
        <f t="shared" si="26"/>
        <v>0</v>
      </c>
      <c r="K271" s="26"/>
      <c r="L271" s="27">
        <f t="shared" si="24"/>
        <v>0</v>
      </c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1:23" ht="20.100000000000001" customHeight="1" x14ac:dyDescent="0.2">
      <c r="A272" s="7">
        <v>261</v>
      </c>
      <c r="B272" s="8"/>
      <c r="C272" s="62"/>
      <c r="D272" s="1" t="str">
        <f t="shared" si="27"/>
        <v xml:space="preserve">, </v>
      </c>
      <c r="E272" s="1">
        <f t="shared" si="28"/>
        <v>261</v>
      </c>
      <c r="F272" s="15"/>
      <c r="G272" s="16"/>
      <c r="H272" s="16"/>
      <c r="I272" s="85">
        <f t="shared" si="25"/>
        <v>0</v>
      </c>
      <c r="J272" s="23">
        <f t="shared" si="26"/>
        <v>0</v>
      </c>
      <c r="K272" s="24"/>
      <c r="L272" s="25">
        <f t="shared" si="24"/>
        <v>0</v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1:23" ht="20.100000000000001" customHeight="1" x14ac:dyDescent="0.2">
      <c r="A273" s="9">
        <v>262</v>
      </c>
      <c r="B273" s="10"/>
      <c r="C273" s="61"/>
      <c r="D273" s="1" t="str">
        <f t="shared" si="27"/>
        <v xml:space="preserve">, </v>
      </c>
      <c r="E273" s="1">
        <f t="shared" si="28"/>
        <v>262</v>
      </c>
      <c r="F273" s="17"/>
      <c r="G273" s="18"/>
      <c r="H273" s="18"/>
      <c r="I273" s="85">
        <f t="shared" si="25"/>
        <v>0</v>
      </c>
      <c r="J273" s="23">
        <f t="shared" si="26"/>
        <v>0</v>
      </c>
      <c r="K273" s="26"/>
      <c r="L273" s="27">
        <f t="shared" si="24"/>
        <v>0</v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1:23" ht="20.100000000000001" customHeight="1" x14ac:dyDescent="0.2">
      <c r="A274" s="11">
        <v>263</v>
      </c>
      <c r="B274" s="12"/>
      <c r="C274" s="62"/>
      <c r="D274" s="1" t="str">
        <f t="shared" si="27"/>
        <v xml:space="preserve">, </v>
      </c>
      <c r="E274" s="1">
        <f t="shared" si="28"/>
        <v>263</v>
      </c>
      <c r="F274" s="19"/>
      <c r="G274" s="20"/>
      <c r="H274" s="20"/>
      <c r="I274" s="85">
        <f t="shared" si="25"/>
        <v>0</v>
      </c>
      <c r="J274" s="23">
        <f t="shared" si="26"/>
        <v>0</v>
      </c>
      <c r="K274" s="28"/>
      <c r="L274" s="27">
        <f t="shared" si="24"/>
        <v>0</v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1:23" ht="20.100000000000001" customHeight="1" x14ac:dyDescent="0.2">
      <c r="A275" s="9">
        <v>264</v>
      </c>
      <c r="B275" s="10"/>
      <c r="C275" s="61"/>
      <c r="D275" s="1" t="str">
        <f t="shared" si="27"/>
        <v xml:space="preserve">, </v>
      </c>
      <c r="E275" s="1">
        <f t="shared" si="28"/>
        <v>264</v>
      </c>
      <c r="F275" s="17"/>
      <c r="G275" s="18"/>
      <c r="H275" s="18"/>
      <c r="I275" s="85">
        <f t="shared" si="25"/>
        <v>0</v>
      </c>
      <c r="J275" s="23">
        <f t="shared" si="26"/>
        <v>0</v>
      </c>
      <c r="K275" s="26"/>
      <c r="L275" s="27">
        <f t="shared" si="24"/>
        <v>0</v>
      </c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1:23" ht="20.100000000000001" customHeight="1" x14ac:dyDescent="0.2">
      <c r="A276" s="7">
        <v>265</v>
      </c>
      <c r="B276" s="8"/>
      <c r="C276" s="62"/>
      <c r="D276" s="1" t="str">
        <f t="shared" si="27"/>
        <v xml:space="preserve">, </v>
      </c>
      <c r="E276" s="1">
        <f t="shared" si="28"/>
        <v>265</v>
      </c>
      <c r="F276" s="15"/>
      <c r="G276" s="16"/>
      <c r="H276" s="16"/>
      <c r="I276" s="85">
        <f t="shared" si="25"/>
        <v>0</v>
      </c>
      <c r="J276" s="23">
        <f t="shared" si="26"/>
        <v>0</v>
      </c>
      <c r="K276" s="24"/>
      <c r="L276" s="25">
        <f t="shared" si="24"/>
        <v>0</v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1:23" ht="20.100000000000001" customHeight="1" x14ac:dyDescent="0.2">
      <c r="A277" s="9">
        <v>266</v>
      </c>
      <c r="B277" s="10"/>
      <c r="C277" s="61"/>
      <c r="D277" s="1" t="str">
        <f t="shared" si="27"/>
        <v xml:space="preserve">, </v>
      </c>
      <c r="E277" s="1">
        <f t="shared" si="28"/>
        <v>266</v>
      </c>
      <c r="F277" s="17"/>
      <c r="G277" s="18"/>
      <c r="H277" s="18"/>
      <c r="I277" s="85">
        <f t="shared" si="25"/>
        <v>0</v>
      </c>
      <c r="J277" s="23">
        <f t="shared" si="26"/>
        <v>0</v>
      </c>
      <c r="K277" s="26"/>
      <c r="L277" s="27">
        <f t="shared" si="24"/>
        <v>0</v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1:23" ht="20.100000000000001" customHeight="1" x14ac:dyDescent="0.2">
      <c r="A278" s="11">
        <v>267</v>
      </c>
      <c r="B278" s="12"/>
      <c r="C278" s="62"/>
      <c r="D278" s="1" t="str">
        <f t="shared" si="27"/>
        <v xml:space="preserve">, </v>
      </c>
      <c r="E278" s="1">
        <f t="shared" si="28"/>
        <v>267</v>
      </c>
      <c r="F278" s="19"/>
      <c r="G278" s="20"/>
      <c r="H278" s="20"/>
      <c r="I278" s="85">
        <f t="shared" si="25"/>
        <v>0</v>
      </c>
      <c r="J278" s="23">
        <f t="shared" si="26"/>
        <v>0</v>
      </c>
      <c r="K278" s="28"/>
      <c r="L278" s="27">
        <f t="shared" si="24"/>
        <v>0</v>
      </c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1:23" ht="20.100000000000001" customHeight="1" x14ac:dyDescent="0.2">
      <c r="A279" s="9">
        <v>268</v>
      </c>
      <c r="B279" s="10"/>
      <c r="C279" s="61"/>
      <c r="D279" s="1" t="str">
        <f t="shared" si="27"/>
        <v xml:space="preserve">, </v>
      </c>
      <c r="E279" s="1">
        <f t="shared" si="28"/>
        <v>268</v>
      </c>
      <c r="F279" s="17"/>
      <c r="G279" s="18"/>
      <c r="H279" s="18"/>
      <c r="I279" s="85">
        <f t="shared" si="25"/>
        <v>0</v>
      </c>
      <c r="J279" s="23">
        <f t="shared" si="26"/>
        <v>0</v>
      </c>
      <c r="K279" s="26"/>
      <c r="L279" s="27">
        <f t="shared" si="24"/>
        <v>0</v>
      </c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1:23" ht="20.100000000000001" customHeight="1" x14ac:dyDescent="0.2">
      <c r="A280" s="7">
        <v>269</v>
      </c>
      <c r="B280" s="8"/>
      <c r="C280" s="62"/>
      <c r="D280" s="1" t="str">
        <f t="shared" si="27"/>
        <v xml:space="preserve">, </v>
      </c>
      <c r="E280" s="1">
        <f t="shared" si="28"/>
        <v>269</v>
      </c>
      <c r="F280" s="15"/>
      <c r="G280" s="16"/>
      <c r="H280" s="16"/>
      <c r="I280" s="85">
        <f t="shared" si="25"/>
        <v>0</v>
      </c>
      <c r="J280" s="23">
        <f t="shared" si="26"/>
        <v>0</v>
      </c>
      <c r="K280" s="24"/>
      <c r="L280" s="25">
        <f t="shared" si="24"/>
        <v>0</v>
      </c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1:23" ht="20.100000000000001" customHeight="1" x14ac:dyDescent="0.2">
      <c r="A281" s="9">
        <v>270</v>
      </c>
      <c r="B281" s="10"/>
      <c r="C281" s="61"/>
      <c r="D281" s="1" t="str">
        <f t="shared" si="27"/>
        <v xml:space="preserve">, </v>
      </c>
      <c r="E281" s="1">
        <f t="shared" si="28"/>
        <v>270</v>
      </c>
      <c r="F281" s="17"/>
      <c r="G281" s="18"/>
      <c r="H281" s="18"/>
      <c r="I281" s="85">
        <f t="shared" si="25"/>
        <v>0</v>
      </c>
      <c r="J281" s="23">
        <f t="shared" si="26"/>
        <v>0</v>
      </c>
      <c r="K281" s="26"/>
      <c r="L281" s="27">
        <f t="shared" si="24"/>
        <v>0</v>
      </c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1:23" ht="20.100000000000001" customHeight="1" x14ac:dyDescent="0.2">
      <c r="A282" s="11">
        <v>271</v>
      </c>
      <c r="B282" s="12"/>
      <c r="C282" s="62"/>
      <c r="D282" s="1" t="str">
        <f t="shared" si="27"/>
        <v xml:space="preserve">, </v>
      </c>
      <c r="E282" s="1">
        <f t="shared" si="28"/>
        <v>271</v>
      </c>
      <c r="F282" s="19"/>
      <c r="G282" s="20"/>
      <c r="H282" s="20"/>
      <c r="I282" s="85">
        <f t="shared" si="25"/>
        <v>0</v>
      </c>
      <c r="J282" s="23">
        <f t="shared" si="26"/>
        <v>0</v>
      </c>
      <c r="K282" s="28"/>
      <c r="L282" s="27">
        <f t="shared" si="24"/>
        <v>0</v>
      </c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1:23" ht="20.100000000000001" customHeight="1" x14ac:dyDescent="0.2">
      <c r="A283" s="9">
        <v>272</v>
      </c>
      <c r="B283" s="10"/>
      <c r="C283" s="61"/>
      <c r="D283" s="1" t="str">
        <f t="shared" si="27"/>
        <v xml:space="preserve">, </v>
      </c>
      <c r="E283" s="1">
        <f t="shared" si="28"/>
        <v>272</v>
      </c>
      <c r="F283" s="17"/>
      <c r="G283" s="18"/>
      <c r="H283" s="18"/>
      <c r="I283" s="85">
        <f t="shared" si="25"/>
        <v>0</v>
      </c>
      <c r="J283" s="23">
        <f t="shared" si="26"/>
        <v>0</v>
      </c>
      <c r="K283" s="26"/>
      <c r="L283" s="27">
        <f t="shared" si="24"/>
        <v>0</v>
      </c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1:23" ht="20.100000000000001" customHeight="1" x14ac:dyDescent="0.2">
      <c r="A284" s="7">
        <v>273</v>
      </c>
      <c r="B284" s="8"/>
      <c r="C284" s="62"/>
      <c r="D284" s="1" t="str">
        <f t="shared" si="27"/>
        <v xml:space="preserve">, </v>
      </c>
      <c r="E284" s="1">
        <f t="shared" si="28"/>
        <v>273</v>
      </c>
      <c r="F284" s="15"/>
      <c r="G284" s="16"/>
      <c r="H284" s="16"/>
      <c r="I284" s="85">
        <f t="shared" si="25"/>
        <v>0</v>
      </c>
      <c r="J284" s="23">
        <f t="shared" si="26"/>
        <v>0</v>
      </c>
      <c r="K284" s="24"/>
      <c r="L284" s="25">
        <f t="shared" si="24"/>
        <v>0</v>
      </c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1:23" ht="20.100000000000001" customHeight="1" x14ac:dyDescent="0.2">
      <c r="A285" s="9">
        <v>274</v>
      </c>
      <c r="B285" s="10"/>
      <c r="C285" s="61"/>
      <c r="D285" s="1" t="str">
        <f t="shared" si="27"/>
        <v xml:space="preserve">, </v>
      </c>
      <c r="E285" s="1">
        <f t="shared" si="28"/>
        <v>274</v>
      </c>
      <c r="F285" s="17"/>
      <c r="G285" s="18"/>
      <c r="H285" s="18"/>
      <c r="I285" s="85">
        <f t="shared" si="25"/>
        <v>0</v>
      </c>
      <c r="J285" s="23">
        <f t="shared" si="26"/>
        <v>0</v>
      </c>
      <c r="K285" s="26"/>
      <c r="L285" s="27">
        <f t="shared" si="24"/>
        <v>0</v>
      </c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1:23" ht="20.100000000000001" customHeight="1" x14ac:dyDescent="0.2">
      <c r="A286" s="11">
        <v>275</v>
      </c>
      <c r="B286" s="12"/>
      <c r="C286" s="62"/>
      <c r="D286" s="1" t="str">
        <f t="shared" si="27"/>
        <v xml:space="preserve">, </v>
      </c>
      <c r="E286" s="1">
        <f t="shared" si="28"/>
        <v>275</v>
      </c>
      <c r="F286" s="19"/>
      <c r="G286" s="20"/>
      <c r="H286" s="20"/>
      <c r="I286" s="85">
        <f t="shared" si="25"/>
        <v>0</v>
      </c>
      <c r="J286" s="23">
        <f t="shared" si="26"/>
        <v>0</v>
      </c>
      <c r="K286" s="28"/>
      <c r="L286" s="27">
        <f t="shared" si="24"/>
        <v>0</v>
      </c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1:23" ht="20.100000000000001" customHeight="1" x14ac:dyDescent="0.2">
      <c r="A287" s="9">
        <v>276</v>
      </c>
      <c r="B287" s="10"/>
      <c r="C287" s="61"/>
      <c r="D287" s="1" t="str">
        <f t="shared" si="27"/>
        <v xml:space="preserve">, </v>
      </c>
      <c r="E287" s="1">
        <f t="shared" si="28"/>
        <v>276</v>
      </c>
      <c r="F287" s="17"/>
      <c r="G287" s="18"/>
      <c r="H287" s="18"/>
      <c r="I287" s="85">
        <f t="shared" si="25"/>
        <v>0</v>
      </c>
      <c r="J287" s="23">
        <f t="shared" si="26"/>
        <v>0</v>
      </c>
      <c r="K287" s="26"/>
      <c r="L287" s="27">
        <f t="shared" si="24"/>
        <v>0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1:23" ht="20.100000000000001" customHeight="1" x14ac:dyDescent="0.2">
      <c r="A288" s="7">
        <v>277</v>
      </c>
      <c r="B288" s="8"/>
      <c r="C288" s="62"/>
      <c r="D288" s="1" t="str">
        <f t="shared" si="27"/>
        <v xml:space="preserve">, </v>
      </c>
      <c r="E288" s="1">
        <f t="shared" si="28"/>
        <v>277</v>
      </c>
      <c r="F288" s="15"/>
      <c r="G288" s="16"/>
      <c r="H288" s="16"/>
      <c r="I288" s="85">
        <f t="shared" si="25"/>
        <v>0</v>
      </c>
      <c r="J288" s="23">
        <f t="shared" si="26"/>
        <v>0</v>
      </c>
      <c r="K288" s="24"/>
      <c r="L288" s="25">
        <f t="shared" si="24"/>
        <v>0</v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1:23" ht="20.100000000000001" customHeight="1" x14ac:dyDescent="0.2">
      <c r="A289" s="9">
        <v>278</v>
      </c>
      <c r="B289" s="10"/>
      <c r="C289" s="61"/>
      <c r="D289" s="1" t="str">
        <f t="shared" si="27"/>
        <v xml:space="preserve">, </v>
      </c>
      <c r="E289" s="1">
        <f t="shared" si="28"/>
        <v>278</v>
      </c>
      <c r="F289" s="17"/>
      <c r="G289" s="18"/>
      <c r="H289" s="18"/>
      <c r="I289" s="85">
        <f t="shared" si="25"/>
        <v>0</v>
      </c>
      <c r="J289" s="23">
        <f t="shared" si="26"/>
        <v>0</v>
      </c>
      <c r="K289" s="26"/>
      <c r="L289" s="27">
        <f t="shared" si="24"/>
        <v>0</v>
      </c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1:23" ht="20.100000000000001" customHeight="1" x14ac:dyDescent="0.2">
      <c r="A290" s="11">
        <v>279</v>
      </c>
      <c r="B290" s="12"/>
      <c r="C290" s="62"/>
      <c r="D290" s="1" t="str">
        <f t="shared" si="27"/>
        <v xml:space="preserve">, </v>
      </c>
      <c r="E290" s="1">
        <f t="shared" si="28"/>
        <v>279</v>
      </c>
      <c r="F290" s="19"/>
      <c r="G290" s="20"/>
      <c r="H290" s="20"/>
      <c r="I290" s="85">
        <f t="shared" si="25"/>
        <v>0</v>
      </c>
      <c r="J290" s="23">
        <f t="shared" si="26"/>
        <v>0</v>
      </c>
      <c r="K290" s="28"/>
      <c r="L290" s="27">
        <f t="shared" si="24"/>
        <v>0</v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1:23" ht="20.100000000000001" customHeight="1" x14ac:dyDescent="0.2">
      <c r="A291" s="9">
        <v>280</v>
      </c>
      <c r="B291" s="10"/>
      <c r="C291" s="61"/>
      <c r="D291" s="1" t="str">
        <f t="shared" si="27"/>
        <v xml:space="preserve">, </v>
      </c>
      <c r="E291" s="1">
        <f t="shared" si="28"/>
        <v>280</v>
      </c>
      <c r="F291" s="17"/>
      <c r="G291" s="18"/>
      <c r="H291" s="18"/>
      <c r="I291" s="85">
        <f t="shared" si="25"/>
        <v>0</v>
      </c>
      <c r="J291" s="23">
        <f t="shared" si="26"/>
        <v>0</v>
      </c>
      <c r="K291" s="26"/>
      <c r="L291" s="27">
        <f t="shared" si="24"/>
        <v>0</v>
      </c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1:23" ht="20.100000000000001" customHeight="1" x14ac:dyDescent="0.2">
      <c r="A292" s="7">
        <v>281</v>
      </c>
      <c r="B292" s="8"/>
      <c r="C292" s="62"/>
      <c r="D292" s="1" t="str">
        <f t="shared" si="27"/>
        <v xml:space="preserve">, </v>
      </c>
      <c r="E292" s="1">
        <f t="shared" si="28"/>
        <v>281</v>
      </c>
      <c r="F292" s="15"/>
      <c r="G292" s="16"/>
      <c r="H292" s="16"/>
      <c r="I292" s="85">
        <f t="shared" si="25"/>
        <v>0</v>
      </c>
      <c r="J292" s="23">
        <f t="shared" si="26"/>
        <v>0</v>
      </c>
      <c r="K292" s="24"/>
      <c r="L292" s="25">
        <f t="shared" si="24"/>
        <v>0</v>
      </c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1:23" ht="20.100000000000001" customHeight="1" x14ac:dyDescent="0.2">
      <c r="A293" s="9">
        <v>282</v>
      </c>
      <c r="B293" s="10"/>
      <c r="C293" s="61"/>
      <c r="D293" s="1" t="str">
        <f t="shared" si="27"/>
        <v xml:space="preserve">, </v>
      </c>
      <c r="E293" s="1">
        <f t="shared" si="28"/>
        <v>282</v>
      </c>
      <c r="F293" s="17"/>
      <c r="G293" s="18"/>
      <c r="H293" s="18"/>
      <c r="I293" s="85">
        <f t="shared" si="25"/>
        <v>0</v>
      </c>
      <c r="J293" s="23">
        <f t="shared" si="26"/>
        <v>0</v>
      </c>
      <c r="K293" s="26"/>
      <c r="L293" s="27">
        <f t="shared" si="24"/>
        <v>0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1:23" ht="20.100000000000001" customHeight="1" x14ac:dyDescent="0.2">
      <c r="A294" s="11">
        <v>283</v>
      </c>
      <c r="B294" s="12"/>
      <c r="C294" s="62"/>
      <c r="D294" s="1" t="str">
        <f t="shared" si="27"/>
        <v xml:space="preserve">, </v>
      </c>
      <c r="E294" s="1">
        <f t="shared" si="28"/>
        <v>283</v>
      </c>
      <c r="F294" s="19"/>
      <c r="G294" s="20"/>
      <c r="H294" s="20"/>
      <c r="I294" s="85">
        <f t="shared" si="25"/>
        <v>0</v>
      </c>
      <c r="J294" s="23">
        <f t="shared" si="26"/>
        <v>0</v>
      </c>
      <c r="K294" s="28"/>
      <c r="L294" s="27">
        <f t="shared" si="24"/>
        <v>0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1:23" ht="20.100000000000001" customHeight="1" x14ac:dyDescent="0.2">
      <c r="A295" s="9">
        <v>284</v>
      </c>
      <c r="B295" s="10"/>
      <c r="C295" s="61"/>
      <c r="D295" s="1" t="str">
        <f t="shared" si="27"/>
        <v xml:space="preserve">, </v>
      </c>
      <c r="E295" s="1">
        <f t="shared" si="28"/>
        <v>284</v>
      </c>
      <c r="F295" s="17"/>
      <c r="G295" s="18"/>
      <c r="H295" s="18"/>
      <c r="I295" s="85">
        <f t="shared" si="25"/>
        <v>0</v>
      </c>
      <c r="J295" s="23">
        <f t="shared" si="26"/>
        <v>0</v>
      </c>
      <c r="K295" s="26"/>
      <c r="L295" s="27">
        <f t="shared" si="24"/>
        <v>0</v>
      </c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1:23" ht="20.100000000000001" customHeight="1" x14ac:dyDescent="0.2">
      <c r="A296" s="7">
        <v>285</v>
      </c>
      <c r="B296" s="8"/>
      <c r="C296" s="62"/>
      <c r="D296" s="1" t="str">
        <f t="shared" si="27"/>
        <v xml:space="preserve">, </v>
      </c>
      <c r="E296" s="1">
        <f t="shared" si="28"/>
        <v>285</v>
      </c>
      <c r="F296" s="15"/>
      <c r="G296" s="16"/>
      <c r="H296" s="16"/>
      <c r="I296" s="85">
        <f t="shared" si="25"/>
        <v>0</v>
      </c>
      <c r="J296" s="23">
        <f t="shared" si="26"/>
        <v>0</v>
      </c>
      <c r="K296" s="24"/>
      <c r="L296" s="25">
        <f t="shared" si="24"/>
        <v>0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1:23" ht="20.100000000000001" customHeight="1" x14ac:dyDescent="0.2">
      <c r="A297" s="9">
        <v>286</v>
      </c>
      <c r="B297" s="10"/>
      <c r="C297" s="61"/>
      <c r="D297" s="1" t="str">
        <f t="shared" si="27"/>
        <v xml:space="preserve">, </v>
      </c>
      <c r="E297" s="1">
        <f t="shared" si="28"/>
        <v>286</v>
      </c>
      <c r="F297" s="17"/>
      <c r="G297" s="18"/>
      <c r="H297" s="18"/>
      <c r="I297" s="85">
        <f t="shared" si="25"/>
        <v>0</v>
      </c>
      <c r="J297" s="23">
        <f t="shared" si="26"/>
        <v>0</v>
      </c>
      <c r="K297" s="26"/>
      <c r="L297" s="27">
        <f t="shared" si="24"/>
        <v>0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1:23" ht="20.100000000000001" customHeight="1" x14ac:dyDescent="0.2">
      <c r="A298" s="11">
        <v>287</v>
      </c>
      <c r="B298" s="12"/>
      <c r="C298" s="62"/>
      <c r="D298" s="1" t="str">
        <f t="shared" si="27"/>
        <v xml:space="preserve">, </v>
      </c>
      <c r="E298" s="1">
        <f t="shared" si="28"/>
        <v>287</v>
      </c>
      <c r="F298" s="19"/>
      <c r="G298" s="20"/>
      <c r="H298" s="20"/>
      <c r="I298" s="85">
        <f t="shared" si="25"/>
        <v>0</v>
      </c>
      <c r="J298" s="23">
        <f t="shared" si="26"/>
        <v>0</v>
      </c>
      <c r="K298" s="28"/>
      <c r="L298" s="27">
        <f t="shared" si="24"/>
        <v>0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1:23" ht="20.100000000000001" customHeight="1" x14ac:dyDescent="0.2">
      <c r="A299" s="9">
        <v>288</v>
      </c>
      <c r="B299" s="10"/>
      <c r="C299" s="61"/>
      <c r="D299" s="1" t="str">
        <f t="shared" si="27"/>
        <v xml:space="preserve">, </v>
      </c>
      <c r="E299" s="1">
        <f t="shared" si="28"/>
        <v>288</v>
      </c>
      <c r="F299" s="17"/>
      <c r="G299" s="18"/>
      <c r="H299" s="18"/>
      <c r="I299" s="85">
        <f t="shared" si="25"/>
        <v>0</v>
      </c>
      <c r="J299" s="23">
        <f t="shared" si="26"/>
        <v>0</v>
      </c>
      <c r="K299" s="26"/>
      <c r="L299" s="27">
        <f t="shared" si="24"/>
        <v>0</v>
      </c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1:23" ht="20.100000000000001" customHeight="1" x14ac:dyDescent="0.2">
      <c r="A300" s="7">
        <v>289</v>
      </c>
      <c r="B300" s="8"/>
      <c r="C300" s="62"/>
      <c r="D300" s="1" t="str">
        <f t="shared" si="27"/>
        <v xml:space="preserve">, </v>
      </c>
      <c r="E300" s="1">
        <f t="shared" si="28"/>
        <v>289</v>
      </c>
      <c r="F300" s="15"/>
      <c r="G300" s="16"/>
      <c r="H300" s="16"/>
      <c r="I300" s="85">
        <f t="shared" si="25"/>
        <v>0</v>
      </c>
      <c r="J300" s="23">
        <f t="shared" si="26"/>
        <v>0</v>
      </c>
      <c r="K300" s="24"/>
      <c r="L300" s="25">
        <f t="shared" si="24"/>
        <v>0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1:23" ht="20.100000000000001" customHeight="1" x14ac:dyDescent="0.2">
      <c r="A301" s="9">
        <v>290</v>
      </c>
      <c r="B301" s="10"/>
      <c r="C301" s="61"/>
      <c r="D301" s="1" t="str">
        <f t="shared" si="27"/>
        <v xml:space="preserve">, </v>
      </c>
      <c r="E301" s="1">
        <f t="shared" si="28"/>
        <v>290</v>
      </c>
      <c r="F301" s="17"/>
      <c r="G301" s="18"/>
      <c r="H301" s="18"/>
      <c r="I301" s="85">
        <f t="shared" si="25"/>
        <v>0</v>
      </c>
      <c r="J301" s="23">
        <f t="shared" si="26"/>
        <v>0</v>
      </c>
      <c r="K301" s="26"/>
      <c r="L301" s="27">
        <f t="shared" si="24"/>
        <v>0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1:23" ht="20.100000000000001" customHeight="1" x14ac:dyDescent="0.2">
      <c r="A302" s="11">
        <v>291</v>
      </c>
      <c r="B302" s="12"/>
      <c r="C302" s="62"/>
      <c r="D302" s="1" t="str">
        <f t="shared" si="27"/>
        <v xml:space="preserve">, </v>
      </c>
      <c r="E302" s="1">
        <f t="shared" si="28"/>
        <v>291</v>
      </c>
      <c r="F302" s="19"/>
      <c r="G302" s="20"/>
      <c r="H302" s="20"/>
      <c r="I302" s="85">
        <f t="shared" si="25"/>
        <v>0</v>
      </c>
      <c r="J302" s="23">
        <f t="shared" si="26"/>
        <v>0</v>
      </c>
      <c r="K302" s="28"/>
      <c r="L302" s="27">
        <f t="shared" si="24"/>
        <v>0</v>
      </c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1:23" ht="20.100000000000001" customHeight="1" x14ac:dyDescent="0.2">
      <c r="A303" s="9">
        <v>292</v>
      </c>
      <c r="B303" s="10"/>
      <c r="C303" s="61"/>
      <c r="D303" s="1" t="str">
        <f t="shared" si="27"/>
        <v xml:space="preserve">, </v>
      </c>
      <c r="E303" s="1">
        <f t="shared" si="28"/>
        <v>292</v>
      </c>
      <c r="F303" s="17"/>
      <c r="G303" s="18"/>
      <c r="H303" s="18"/>
      <c r="I303" s="85">
        <f t="shared" si="25"/>
        <v>0</v>
      </c>
      <c r="J303" s="23">
        <f t="shared" si="26"/>
        <v>0</v>
      </c>
      <c r="K303" s="26"/>
      <c r="L303" s="27">
        <f t="shared" si="24"/>
        <v>0</v>
      </c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1:23" ht="20.100000000000001" customHeight="1" x14ac:dyDescent="0.2">
      <c r="A304" s="7">
        <v>293</v>
      </c>
      <c r="B304" s="8"/>
      <c r="C304" s="62"/>
      <c r="D304" s="1" t="str">
        <f t="shared" si="27"/>
        <v xml:space="preserve">, </v>
      </c>
      <c r="E304" s="1">
        <f t="shared" si="28"/>
        <v>293</v>
      </c>
      <c r="F304" s="15"/>
      <c r="G304" s="16"/>
      <c r="H304" s="16"/>
      <c r="I304" s="85">
        <f t="shared" si="25"/>
        <v>0</v>
      </c>
      <c r="J304" s="23">
        <f t="shared" si="26"/>
        <v>0</v>
      </c>
      <c r="K304" s="24"/>
      <c r="L304" s="25">
        <f t="shared" si="24"/>
        <v>0</v>
      </c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1:23" ht="20.100000000000001" customHeight="1" x14ac:dyDescent="0.2">
      <c r="A305" s="9">
        <v>294</v>
      </c>
      <c r="B305" s="10"/>
      <c r="C305" s="61"/>
      <c r="D305" s="1" t="str">
        <f t="shared" si="27"/>
        <v xml:space="preserve">, </v>
      </c>
      <c r="E305" s="1">
        <f t="shared" si="28"/>
        <v>294</v>
      </c>
      <c r="F305" s="17"/>
      <c r="G305" s="18"/>
      <c r="H305" s="18"/>
      <c r="I305" s="85">
        <f t="shared" si="25"/>
        <v>0</v>
      </c>
      <c r="J305" s="23">
        <f t="shared" si="26"/>
        <v>0</v>
      </c>
      <c r="K305" s="26"/>
      <c r="L305" s="27">
        <f t="shared" si="24"/>
        <v>0</v>
      </c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1:23" ht="20.100000000000001" customHeight="1" x14ac:dyDescent="0.2">
      <c r="A306" s="11">
        <v>295</v>
      </c>
      <c r="B306" s="12"/>
      <c r="C306" s="62"/>
      <c r="D306" s="1" t="str">
        <f t="shared" si="27"/>
        <v xml:space="preserve">, </v>
      </c>
      <c r="E306" s="1">
        <f t="shared" si="28"/>
        <v>295</v>
      </c>
      <c r="F306" s="19"/>
      <c r="G306" s="20"/>
      <c r="H306" s="20"/>
      <c r="I306" s="85">
        <f t="shared" si="25"/>
        <v>0</v>
      </c>
      <c r="J306" s="23">
        <f t="shared" si="26"/>
        <v>0</v>
      </c>
      <c r="K306" s="28"/>
      <c r="L306" s="27">
        <f t="shared" si="24"/>
        <v>0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1:23" ht="20.100000000000001" customHeight="1" x14ac:dyDescent="0.2">
      <c r="A307" s="9">
        <v>296</v>
      </c>
      <c r="B307" s="10"/>
      <c r="C307" s="61"/>
      <c r="D307" s="1" t="str">
        <f t="shared" si="27"/>
        <v xml:space="preserve">, </v>
      </c>
      <c r="E307" s="1">
        <f t="shared" si="28"/>
        <v>296</v>
      </c>
      <c r="F307" s="17"/>
      <c r="G307" s="18"/>
      <c r="H307" s="18"/>
      <c r="I307" s="85">
        <f t="shared" si="25"/>
        <v>0</v>
      </c>
      <c r="J307" s="23">
        <f t="shared" si="26"/>
        <v>0</v>
      </c>
      <c r="K307" s="26"/>
      <c r="L307" s="27">
        <f t="shared" si="24"/>
        <v>0</v>
      </c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1:23" ht="20.100000000000001" customHeight="1" x14ac:dyDescent="0.2">
      <c r="A308" s="7">
        <v>297</v>
      </c>
      <c r="B308" s="8"/>
      <c r="C308" s="62"/>
      <c r="D308" s="1" t="str">
        <f t="shared" si="27"/>
        <v xml:space="preserve">, </v>
      </c>
      <c r="E308" s="1">
        <f t="shared" si="28"/>
        <v>297</v>
      </c>
      <c r="F308" s="15"/>
      <c r="G308" s="16"/>
      <c r="H308" s="16"/>
      <c r="I308" s="85">
        <f t="shared" si="25"/>
        <v>0</v>
      </c>
      <c r="J308" s="23">
        <f t="shared" si="26"/>
        <v>0</v>
      </c>
      <c r="K308" s="24"/>
      <c r="L308" s="25">
        <f t="shared" si="24"/>
        <v>0</v>
      </c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1:23" ht="20.100000000000001" customHeight="1" x14ac:dyDescent="0.2">
      <c r="A309" s="9">
        <v>298</v>
      </c>
      <c r="B309" s="10"/>
      <c r="C309" s="61"/>
      <c r="D309" s="1" t="str">
        <f t="shared" si="27"/>
        <v xml:space="preserve">, </v>
      </c>
      <c r="E309" s="1">
        <f t="shared" si="28"/>
        <v>298</v>
      </c>
      <c r="F309" s="17"/>
      <c r="G309" s="18"/>
      <c r="H309" s="18"/>
      <c r="I309" s="85">
        <f t="shared" si="25"/>
        <v>0</v>
      </c>
      <c r="J309" s="23">
        <f t="shared" si="26"/>
        <v>0</v>
      </c>
      <c r="K309" s="26"/>
      <c r="L309" s="27">
        <f t="shared" si="24"/>
        <v>0</v>
      </c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1:23" ht="20.100000000000001" customHeight="1" x14ac:dyDescent="0.2">
      <c r="A310" s="11">
        <v>299</v>
      </c>
      <c r="B310" s="12"/>
      <c r="C310" s="62"/>
      <c r="D310" s="1" t="str">
        <f t="shared" si="27"/>
        <v xml:space="preserve">, </v>
      </c>
      <c r="E310" s="1">
        <f t="shared" si="28"/>
        <v>299</v>
      </c>
      <c r="F310" s="19"/>
      <c r="G310" s="20"/>
      <c r="H310" s="20"/>
      <c r="I310" s="85">
        <f t="shared" si="25"/>
        <v>0</v>
      </c>
      <c r="J310" s="23">
        <f t="shared" si="26"/>
        <v>0</v>
      </c>
      <c r="K310" s="28"/>
      <c r="L310" s="27">
        <f t="shared" si="24"/>
        <v>0</v>
      </c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1:23" ht="20.100000000000001" customHeight="1" x14ac:dyDescent="0.2">
      <c r="A311" s="9">
        <v>300</v>
      </c>
      <c r="B311" s="10"/>
      <c r="C311" s="61"/>
      <c r="D311" s="1" t="str">
        <f t="shared" si="27"/>
        <v xml:space="preserve">, </v>
      </c>
      <c r="E311" s="1">
        <f t="shared" si="28"/>
        <v>300</v>
      </c>
      <c r="F311" s="17"/>
      <c r="G311" s="18"/>
      <c r="H311" s="18"/>
      <c r="I311" s="85">
        <f t="shared" si="25"/>
        <v>0</v>
      </c>
      <c r="J311" s="23">
        <f t="shared" si="26"/>
        <v>0</v>
      </c>
      <c r="K311" s="26"/>
      <c r="L311" s="27">
        <f t="shared" si="24"/>
        <v>0</v>
      </c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1:23" ht="20.100000000000001" customHeight="1" x14ac:dyDescent="0.2">
      <c r="A312" s="7">
        <v>301</v>
      </c>
      <c r="B312" s="8"/>
      <c r="C312" s="62"/>
      <c r="D312" s="1" t="str">
        <f t="shared" si="27"/>
        <v xml:space="preserve">, </v>
      </c>
      <c r="E312" s="1">
        <f t="shared" si="28"/>
        <v>301</v>
      </c>
      <c r="F312" s="15"/>
      <c r="G312" s="16"/>
      <c r="H312" s="16"/>
      <c r="I312" s="85">
        <f t="shared" si="25"/>
        <v>0</v>
      </c>
      <c r="J312" s="23">
        <f t="shared" si="26"/>
        <v>0</v>
      </c>
      <c r="K312" s="24"/>
      <c r="L312" s="25">
        <f t="shared" si="24"/>
        <v>0</v>
      </c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1:23" ht="20.100000000000001" customHeight="1" x14ac:dyDescent="0.2">
      <c r="A313" s="9">
        <v>302</v>
      </c>
      <c r="B313" s="10"/>
      <c r="C313" s="61"/>
      <c r="D313" s="1" t="str">
        <f t="shared" si="27"/>
        <v xml:space="preserve">, </v>
      </c>
      <c r="E313" s="1">
        <f t="shared" si="28"/>
        <v>302</v>
      </c>
      <c r="F313" s="17"/>
      <c r="G313" s="18"/>
      <c r="H313" s="18"/>
      <c r="I313" s="85">
        <f t="shared" si="25"/>
        <v>0</v>
      </c>
      <c r="J313" s="23">
        <f t="shared" si="26"/>
        <v>0</v>
      </c>
      <c r="K313" s="26"/>
      <c r="L313" s="27">
        <f t="shared" si="24"/>
        <v>0</v>
      </c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1:23" ht="20.100000000000001" customHeight="1" x14ac:dyDescent="0.2">
      <c r="A314" s="11">
        <v>303</v>
      </c>
      <c r="B314" s="12"/>
      <c r="C314" s="62"/>
      <c r="D314" s="1" t="str">
        <f t="shared" si="27"/>
        <v xml:space="preserve">, </v>
      </c>
      <c r="E314" s="1">
        <f t="shared" si="28"/>
        <v>303</v>
      </c>
      <c r="F314" s="19"/>
      <c r="G314" s="20"/>
      <c r="H314" s="20"/>
      <c r="I314" s="85">
        <f t="shared" si="25"/>
        <v>0</v>
      </c>
      <c r="J314" s="23">
        <f t="shared" si="26"/>
        <v>0</v>
      </c>
      <c r="K314" s="28"/>
      <c r="L314" s="27">
        <f t="shared" si="24"/>
        <v>0</v>
      </c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1:23" ht="20.100000000000001" customHeight="1" x14ac:dyDescent="0.2">
      <c r="A315" s="9">
        <v>304</v>
      </c>
      <c r="B315" s="10"/>
      <c r="C315" s="61"/>
      <c r="D315" s="1" t="str">
        <f t="shared" si="27"/>
        <v xml:space="preserve">, </v>
      </c>
      <c r="E315" s="1">
        <f t="shared" si="28"/>
        <v>304</v>
      </c>
      <c r="F315" s="17"/>
      <c r="G315" s="18"/>
      <c r="H315" s="18"/>
      <c r="I315" s="85">
        <f t="shared" si="25"/>
        <v>0</v>
      </c>
      <c r="J315" s="23">
        <f t="shared" si="26"/>
        <v>0</v>
      </c>
      <c r="K315" s="26"/>
      <c r="L315" s="27">
        <f t="shared" si="24"/>
        <v>0</v>
      </c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1:23" ht="20.100000000000001" customHeight="1" x14ac:dyDescent="0.2">
      <c r="A316" s="7">
        <v>305</v>
      </c>
      <c r="B316" s="8"/>
      <c r="C316" s="62"/>
      <c r="D316" s="1" t="str">
        <f t="shared" si="27"/>
        <v xml:space="preserve">, </v>
      </c>
      <c r="E316" s="1">
        <f t="shared" si="28"/>
        <v>305</v>
      </c>
      <c r="F316" s="15"/>
      <c r="G316" s="16"/>
      <c r="H316" s="16"/>
      <c r="I316" s="85">
        <f t="shared" si="25"/>
        <v>0</v>
      </c>
      <c r="J316" s="23">
        <f t="shared" si="26"/>
        <v>0</v>
      </c>
      <c r="K316" s="24"/>
      <c r="L316" s="25">
        <f t="shared" si="24"/>
        <v>0</v>
      </c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1:23" ht="20.100000000000001" customHeight="1" x14ac:dyDescent="0.2">
      <c r="A317" s="9">
        <v>306</v>
      </c>
      <c r="B317" s="10"/>
      <c r="C317" s="61"/>
      <c r="D317" s="1" t="str">
        <f t="shared" si="27"/>
        <v xml:space="preserve">, </v>
      </c>
      <c r="E317" s="1">
        <f t="shared" si="28"/>
        <v>306</v>
      </c>
      <c r="F317" s="17"/>
      <c r="G317" s="18"/>
      <c r="H317" s="18"/>
      <c r="I317" s="85">
        <f t="shared" si="25"/>
        <v>0</v>
      </c>
      <c r="J317" s="23">
        <f t="shared" si="26"/>
        <v>0</v>
      </c>
      <c r="K317" s="26"/>
      <c r="L317" s="27">
        <f t="shared" si="24"/>
        <v>0</v>
      </c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1:23" ht="20.100000000000001" customHeight="1" x14ac:dyDescent="0.2">
      <c r="A318" s="11">
        <v>307</v>
      </c>
      <c r="B318" s="12"/>
      <c r="C318" s="62"/>
      <c r="D318" s="1" t="str">
        <f t="shared" si="27"/>
        <v xml:space="preserve">, </v>
      </c>
      <c r="E318" s="1">
        <f t="shared" si="28"/>
        <v>307</v>
      </c>
      <c r="F318" s="19"/>
      <c r="G318" s="20"/>
      <c r="H318" s="20"/>
      <c r="I318" s="85">
        <f t="shared" si="25"/>
        <v>0</v>
      </c>
      <c r="J318" s="23">
        <f t="shared" si="26"/>
        <v>0</v>
      </c>
      <c r="K318" s="28"/>
      <c r="L318" s="27">
        <f t="shared" si="24"/>
        <v>0</v>
      </c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1:23" ht="20.100000000000001" customHeight="1" x14ac:dyDescent="0.2">
      <c r="A319" s="9">
        <v>308</v>
      </c>
      <c r="B319" s="10"/>
      <c r="C319" s="61"/>
      <c r="D319" s="1" t="str">
        <f t="shared" si="27"/>
        <v xml:space="preserve">, </v>
      </c>
      <c r="E319" s="1">
        <f t="shared" si="28"/>
        <v>308</v>
      </c>
      <c r="F319" s="17"/>
      <c r="G319" s="18"/>
      <c r="H319" s="18"/>
      <c r="I319" s="85">
        <f t="shared" si="25"/>
        <v>0</v>
      </c>
      <c r="J319" s="23">
        <f t="shared" si="26"/>
        <v>0</v>
      </c>
      <c r="K319" s="26"/>
      <c r="L319" s="27">
        <f t="shared" si="24"/>
        <v>0</v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1:23" ht="20.100000000000001" customHeight="1" x14ac:dyDescent="0.2">
      <c r="A320" s="7">
        <v>309</v>
      </c>
      <c r="B320" s="8"/>
      <c r="C320" s="62"/>
      <c r="D320" s="1" t="str">
        <f t="shared" si="27"/>
        <v xml:space="preserve">, </v>
      </c>
      <c r="E320" s="1">
        <f t="shared" si="28"/>
        <v>309</v>
      </c>
      <c r="F320" s="15"/>
      <c r="G320" s="16"/>
      <c r="H320" s="16"/>
      <c r="I320" s="85">
        <f t="shared" si="25"/>
        <v>0</v>
      </c>
      <c r="J320" s="23">
        <f t="shared" si="26"/>
        <v>0</v>
      </c>
      <c r="K320" s="24"/>
      <c r="L320" s="25">
        <f t="shared" si="24"/>
        <v>0</v>
      </c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1:23" ht="20.100000000000001" customHeight="1" x14ac:dyDescent="0.2">
      <c r="A321" s="9">
        <v>310</v>
      </c>
      <c r="B321" s="10"/>
      <c r="C321" s="61"/>
      <c r="D321" s="1" t="str">
        <f t="shared" si="27"/>
        <v xml:space="preserve">, </v>
      </c>
      <c r="E321" s="1">
        <f t="shared" si="28"/>
        <v>310</v>
      </c>
      <c r="F321" s="17"/>
      <c r="G321" s="18"/>
      <c r="H321" s="18"/>
      <c r="I321" s="85">
        <f t="shared" si="25"/>
        <v>0</v>
      </c>
      <c r="J321" s="23">
        <f t="shared" si="26"/>
        <v>0</v>
      </c>
      <c r="K321" s="26"/>
      <c r="L321" s="27">
        <f t="shared" si="24"/>
        <v>0</v>
      </c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1:23" ht="20.100000000000001" customHeight="1" x14ac:dyDescent="0.2">
      <c r="A322" s="11">
        <v>311</v>
      </c>
      <c r="B322" s="12"/>
      <c r="C322" s="62"/>
      <c r="D322" s="1" t="str">
        <f t="shared" si="27"/>
        <v xml:space="preserve">, </v>
      </c>
      <c r="E322" s="1">
        <f t="shared" si="28"/>
        <v>311</v>
      </c>
      <c r="F322" s="19"/>
      <c r="G322" s="20"/>
      <c r="H322" s="20"/>
      <c r="I322" s="85">
        <f t="shared" si="25"/>
        <v>0</v>
      </c>
      <c r="J322" s="23">
        <f t="shared" si="26"/>
        <v>0</v>
      </c>
      <c r="K322" s="28"/>
      <c r="L322" s="27">
        <f t="shared" si="24"/>
        <v>0</v>
      </c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1:23" ht="20.100000000000001" customHeight="1" x14ac:dyDescent="0.2">
      <c r="A323" s="9">
        <v>312</v>
      </c>
      <c r="B323" s="10"/>
      <c r="C323" s="61"/>
      <c r="D323" s="1" t="str">
        <f t="shared" si="27"/>
        <v xml:space="preserve">, </v>
      </c>
      <c r="E323" s="1">
        <f t="shared" si="28"/>
        <v>312</v>
      </c>
      <c r="F323" s="17"/>
      <c r="G323" s="18"/>
      <c r="H323" s="18"/>
      <c r="I323" s="85">
        <f t="shared" si="25"/>
        <v>0</v>
      </c>
      <c r="J323" s="23">
        <f t="shared" si="26"/>
        <v>0</v>
      </c>
      <c r="K323" s="26"/>
      <c r="L323" s="27">
        <f t="shared" si="24"/>
        <v>0</v>
      </c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1:23" ht="20.100000000000001" customHeight="1" x14ac:dyDescent="0.2">
      <c r="A324" s="7">
        <v>313</v>
      </c>
      <c r="B324" s="8"/>
      <c r="C324" s="62"/>
      <c r="D324" s="1" t="str">
        <f t="shared" si="27"/>
        <v xml:space="preserve">, </v>
      </c>
      <c r="E324" s="1">
        <f t="shared" si="28"/>
        <v>313</v>
      </c>
      <c r="F324" s="15"/>
      <c r="G324" s="16"/>
      <c r="H324" s="16"/>
      <c r="I324" s="85">
        <f t="shared" si="25"/>
        <v>0</v>
      </c>
      <c r="J324" s="23">
        <f t="shared" si="26"/>
        <v>0</v>
      </c>
      <c r="K324" s="24"/>
      <c r="L324" s="25">
        <f t="shared" ref="L324:L387" si="29">J324-K324</f>
        <v>0</v>
      </c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1:23" ht="20.100000000000001" customHeight="1" x14ac:dyDescent="0.2">
      <c r="A325" s="9">
        <v>314</v>
      </c>
      <c r="B325" s="10"/>
      <c r="C325" s="61"/>
      <c r="D325" s="1" t="str">
        <f t="shared" si="27"/>
        <v xml:space="preserve">, </v>
      </c>
      <c r="E325" s="1">
        <f t="shared" si="28"/>
        <v>314</v>
      </c>
      <c r="F325" s="17"/>
      <c r="G325" s="18"/>
      <c r="H325" s="18"/>
      <c r="I325" s="85">
        <f t="shared" si="25"/>
        <v>0</v>
      </c>
      <c r="J325" s="23">
        <f t="shared" si="26"/>
        <v>0</v>
      </c>
      <c r="K325" s="26"/>
      <c r="L325" s="27">
        <f t="shared" si="29"/>
        <v>0</v>
      </c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1:23" ht="20.100000000000001" customHeight="1" x14ac:dyDescent="0.2">
      <c r="A326" s="11">
        <v>315</v>
      </c>
      <c r="B326" s="12"/>
      <c r="C326" s="62"/>
      <c r="D326" s="1" t="str">
        <f t="shared" si="27"/>
        <v xml:space="preserve">, </v>
      </c>
      <c r="E326" s="1">
        <f t="shared" si="28"/>
        <v>315</v>
      </c>
      <c r="F326" s="19"/>
      <c r="G326" s="20"/>
      <c r="H326" s="20"/>
      <c r="I326" s="85">
        <f t="shared" si="25"/>
        <v>0</v>
      </c>
      <c r="J326" s="23">
        <f t="shared" si="26"/>
        <v>0</v>
      </c>
      <c r="K326" s="28"/>
      <c r="L326" s="27">
        <f t="shared" si="29"/>
        <v>0</v>
      </c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1:23" ht="20.100000000000001" customHeight="1" x14ac:dyDescent="0.2">
      <c r="A327" s="9">
        <v>316</v>
      </c>
      <c r="B327" s="10"/>
      <c r="C327" s="61"/>
      <c r="D327" s="1" t="str">
        <f t="shared" si="27"/>
        <v xml:space="preserve">, </v>
      </c>
      <c r="E327" s="1">
        <f t="shared" si="28"/>
        <v>316</v>
      </c>
      <c r="F327" s="17"/>
      <c r="G327" s="18"/>
      <c r="H327" s="18"/>
      <c r="I327" s="85">
        <f t="shared" si="25"/>
        <v>0</v>
      </c>
      <c r="J327" s="23">
        <f t="shared" si="26"/>
        <v>0</v>
      </c>
      <c r="K327" s="26"/>
      <c r="L327" s="27">
        <f t="shared" si="29"/>
        <v>0</v>
      </c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1:23" ht="20.100000000000001" customHeight="1" x14ac:dyDescent="0.2">
      <c r="A328" s="7">
        <v>317</v>
      </c>
      <c r="B328" s="8"/>
      <c r="C328" s="62"/>
      <c r="D328" s="1" t="str">
        <f t="shared" si="27"/>
        <v xml:space="preserve">, </v>
      </c>
      <c r="E328" s="1">
        <f t="shared" si="28"/>
        <v>317</v>
      </c>
      <c r="F328" s="15"/>
      <c r="G328" s="16"/>
      <c r="H328" s="16"/>
      <c r="I328" s="85">
        <f t="shared" si="25"/>
        <v>0</v>
      </c>
      <c r="J328" s="23">
        <f t="shared" si="26"/>
        <v>0</v>
      </c>
      <c r="K328" s="24"/>
      <c r="L328" s="25">
        <f t="shared" si="29"/>
        <v>0</v>
      </c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1:23" ht="20.100000000000001" customHeight="1" x14ac:dyDescent="0.2">
      <c r="A329" s="9">
        <v>318</v>
      </c>
      <c r="B329" s="10"/>
      <c r="C329" s="61"/>
      <c r="D329" s="1" t="str">
        <f t="shared" si="27"/>
        <v xml:space="preserve">, </v>
      </c>
      <c r="E329" s="1">
        <f t="shared" si="28"/>
        <v>318</v>
      </c>
      <c r="F329" s="17"/>
      <c r="G329" s="18"/>
      <c r="H329" s="18"/>
      <c r="I329" s="85">
        <f t="shared" si="25"/>
        <v>0</v>
      </c>
      <c r="J329" s="23">
        <f t="shared" si="26"/>
        <v>0</v>
      </c>
      <c r="K329" s="26"/>
      <c r="L329" s="27">
        <f t="shared" si="29"/>
        <v>0</v>
      </c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1:23" ht="20.100000000000001" customHeight="1" x14ac:dyDescent="0.2">
      <c r="A330" s="11">
        <v>319</v>
      </c>
      <c r="B330" s="12"/>
      <c r="C330" s="62"/>
      <c r="D330" s="1" t="str">
        <f t="shared" si="27"/>
        <v xml:space="preserve">, </v>
      </c>
      <c r="E330" s="1">
        <f t="shared" si="28"/>
        <v>319</v>
      </c>
      <c r="F330" s="19"/>
      <c r="G330" s="20"/>
      <c r="H330" s="20"/>
      <c r="I330" s="85">
        <f t="shared" si="25"/>
        <v>0</v>
      </c>
      <c r="J330" s="23">
        <f t="shared" si="26"/>
        <v>0</v>
      </c>
      <c r="K330" s="28"/>
      <c r="L330" s="27">
        <f t="shared" si="29"/>
        <v>0</v>
      </c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1:23" ht="20.100000000000001" customHeight="1" x14ac:dyDescent="0.2">
      <c r="A331" s="9">
        <v>320</v>
      </c>
      <c r="B331" s="10"/>
      <c r="C331" s="61"/>
      <c r="D331" s="1" t="str">
        <f t="shared" si="27"/>
        <v xml:space="preserve">, </v>
      </c>
      <c r="E331" s="1">
        <f t="shared" si="28"/>
        <v>320</v>
      </c>
      <c r="F331" s="17"/>
      <c r="G331" s="18"/>
      <c r="H331" s="18"/>
      <c r="I331" s="85">
        <f t="shared" si="25"/>
        <v>0</v>
      </c>
      <c r="J331" s="23">
        <f t="shared" si="26"/>
        <v>0</v>
      </c>
      <c r="K331" s="26"/>
      <c r="L331" s="27">
        <f t="shared" si="29"/>
        <v>0</v>
      </c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1:23" ht="20.100000000000001" customHeight="1" x14ac:dyDescent="0.2">
      <c r="A332" s="7">
        <v>321</v>
      </c>
      <c r="B332" s="8"/>
      <c r="C332" s="62"/>
      <c r="D332" s="1" t="str">
        <f t="shared" si="27"/>
        <v xml:space="preserve">, </v>
      </c>
      <c r="E332" s="1">
        <f t="shared" si="28"/>
        <v>321</v>
      </c>
      <c r="F332" s="15"/>
      <c r="G332" s="16"/>
      <c r="H332" s="16"/>
      <c r="I332" s="85">
        <f t="shared" ref="I332:I395" si="30">SUM(F332:H332)</f>
        <v>0</v>
      </c>
      <c r="J332" s="23">
        <f t="shared" ref="J332:J395" si="31">IFERROR(I332*$F$3,0)</f>
        <v>0</v>
      </c>
      <c r="K332" s="24"/>
      <c r="L332" s="25">
        <f t="shared" si="29"/>
        <v>0</v>
      </c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1:23" ht="20.100000000000001" customHeight="1" x14ac:dyDescent="0.2">
      <c r="A333" s="9">
        <v>322</v>
      </c>
      <c r="B333" s="10"/>
      <c r="C333" s="61"/>
      <c r="D333" s="1" t="str">
        <f t="shared" ref="D333:D396" si="32">CONCATENATE(C333,", ",B333)</f>
        <v xml:space="preserve">, </v>
      </c>
      <c r="E333" s="1">
        <f t="shared" ref="E333:E396" si="33">A333</f>
        <v>322</v>
      </c>
      <c r="F333" s="17"/>
      <c r="G333" s="18"/>
      <c r="H333" s="18"/>
      <c r="I333" s="85">
        <f t="shared" si="30"/>
        <v>0</v>
      </c>
      <c r="J333" s="23">
        <f t="shared" si="31"/>
        <v>0</v>
      </c>
      <c r="K333" s="26"/>
      <c r="L333" s="27">
        <f t="shared" si="29"/>
        <v>0</v>
      </c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1:23" ht="20.100000000000001" customHeight="1" x14ac:dyDescent="0.2">
      <c r="A334" s="11">
        <v>323</v>
      </c>
      <c r="B334" s="12"/>
      <c r="C334" s="62"/>
      <c r="D334" s="1" t="str">
        <f t="shared" si="32"/>
        <v xml:space="preserve">, </v>
      </c>
      <c r="E334" s="1">
        <f t="shared" si="33"/>
        <v>323</v>
      </c>
      <c r="F334" s="19"/>
      <c r="G334" s="20"/>
      <c r="H334" s="20"/>
      <c r="I334" s="85">
        <f t="shared" si="30"/>
        <v>0</v>
      </c>
      <c r="J334" s="23">
        <f t="shared" si="31"/>
        <v>0</v>
      </c>
      <c r="K334" s="28"/>
      <c r="L334" s="27">
        <f t="shared" si="29"/>
        <v>0</v>
      </c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1:23" ht="20.100000000000001" customHeight="1" x14ac:dyDescent="0.2">
      <c r="A335" s="9">
        <v>324</v>
      </c>
      <c r="B335" s="10"/>
      <c r="C335" s="61"/>
      <c r="D335" s="1" t="str">
        <f t="shared" si="32"/>
        <v xml:space="preserve">, </v>
      </c>
      <c r="E335" s="1">
        <f t="shared" si="33"/>
        <v>324</v>
      </c>
      <c r="F335" s="17"/>
      <c r="G335" s="18"/>
      <c r="H335" s="18"/>
      <c r="I335" s="85">
        <f t="shared" si="30"/>
        <v>0</v>
      </c>
      <c r="J335" s="23">
        <f t="shared" si="31"/>
        <v>0</v>
      </c>
      <c r="K335" s="26"/>
      <c r="L335" s="27">
        <f t="shared" si="29"/>
        <v>0</v>
      </c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1:23" ht="20.100000000000001" customHeight="1" x14ac:dyDescent="0.2">
      <c r="A336" s="7">
        <v>325</v>
      </c>
      <c r="B336" s="8"/>
      <c r="C336" s="62"/>
      <c r="D336" s="1" t="str">
        <f t="shared" si="32"/>
        <v xml:space="preserve">, </v>
      </c>
      <c r="E336" s="1">
        <f t="shared" si="33"/>
        <v>325</v>
      </c>
      <c r="F336" s="15"/>
      <c r="G336" s="16"/>
      <c r="H336" s="16"/>
      <c r="I336" s="85">
        <f t="shared" si="30"/>
        <v>0</v>
      </c>
      <c r="J336" s="23">
        <f t="shared" si="31"/>
        <v>0</v>
      </c>
      <c r="K336" s="24"/>
      <c r="L336" s="25">
        <f t="shared" si="29"/>
        <v>0</v>
      </c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1:23" ht="20.100000000000001" customHeight="1" x14ac:dyDescent="0.2">
      <c r="A337" s="9">
        <v>326</v>
      </c>
      <c r="B337" s="10"/>
      <c r="C337" s="61"/>
      <c r="D337" s="1" t="str">
        <f t="shared" si="32"/>
        <v xml:space="preserve">, </v>
      </c>
      <c r="E337" s="1">
        <f t="shared" si="33"/>
        <v>326</v>
      </c>
      <c r="F337" s="17"/>
      <c r="G337" s="18"/>
      <c r="H337" s="18"/>
      <c r="I337" s="85">
        <f t="shared" si="30"/>
        <v>0</v>
      </c>
      <c r="J337" s="23">
        <f t="shared" si="31"/>
        <v>0</v>
      </c>
      <c r="K337" s="26"/>
      <c r="L337" s="27">
        <f t="shared" si="29"/>
        <v>0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1:23" ht="20.100000000000001" customHeight="1" x14ac:dyDescent="0.2">
      <c r="A338" s="11">
        <v>327</v>
      </c>
      <c r="B338" s="12"/>
      <c r="C338" s="62"/>
      <c r="D338" s="1" t="str">
        <f t="shared" si="32"/>
        <v xml:space="preserve">, </v>
      </c>
      <c r="E338" s="1">
        <f t="shared" si="33"/>
        <v>327</v>
      </c>
      <c r="F338" s="19"/>
      <c r="G338" s="20"/>
      <c r="H338" s="20"/>
      <c r="I338" s="85">
        <f t="shared" si="30"/>
        <v>0</v>
      </c>
      <c r="J338" s="23">
        <f t="shared" si="31"/>
        <v>0</v>
      </c>
      <c r="K338" s="28"/>
      <c r="L338" s="27">
        <f t="shared" si="29"/>
        <v>0</v>
      </c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1:23" ht="20.100000000000001" customHeight="1" x14ac:dyDescent="0.2">
      <c r="A339" s="9">
        <v>328</v>
      </c>
      <c r="B339" s="10"/>
      <c r="C339" s="61"/>
      <c r="D339" s="1" t="str">
        <f t="shared" si="32"/>
        <v xml:space="preserve">, </v>
      </c>
      <c r="E339" s="1">
        <f t="shared" si="33"/>
        <v>328</v>
      </c>
      <c r="F339" s="17"/>
      <c r="G339" s="18"/>
      <c r="H339" s="18"/>
      <c r="I339" s="85">
        <f t="shared" si="30"/>
        <v>0</v>
      </c>
      <c r="J339" s="23">
        <f t="shared" si="31"/>
        <v>0</v>
      </c>
      <c r="K339" s="26"/>
      <c r="L339" s="27">
        <f t="shared" si="29"/>
        <v>0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1:23" ht="20.100000000000001" customHeight="1" x14ac:dyDescent="0.2">
      <c r="A340" s="7">
        <v>329</v>
      </c>
      <c r="B340" s="8"/>
      <c r="C340" s="62"/>
      <c r="D340" s="1" t="str">
        <f t="shared" si="32"/>
        <v xml:space="preserve">, </v>
      </c>
      <c r="E340" s="1">
        <f t="shared" si="33"/>
        <v>329</v>
      </c>
      <c r="F340" s="15"/>
      <c r="G340" s="16"/>
      <c r="H340" s="16"/>
      <c r="I340" s="85">
        <f t="shared" si="30"/>
        <v>0</v>
      </c>
      <c r="J340" s="23">
        <f t="shared" si="31"/>
        <v>0</v>
      </c>
      <c r="K340" s="24"/>
      <c r="L340" s="25">
        <f t="shared" si="29"/>
        <v>0</v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1:23" ht="20.100000000000001" customHeight="1" x14ac:dyDescent="0.2">
      <c r="A341" s="9">
        <v>330</v>
      </c>
      <c r="B341" s="10"/>
      <c r="C341" s="61"/>
      <c r="D341" s="1" t="str">
        <f t="shared" si="32"/>
        <v xml:space="preserve">, </v>
      </c>
      <c r="E341" s="1">
        <f t="shared" si="33"/>
        <v>330</v>
      </c>
      <c r="F341" s="17"/>
      <c r="G341" s="18"/>
      <c r="H341" s="18"/>
      <c r="I341" s="85">
        <f t="shared" si="30"/>
        <v>0</v>
      </c>
      <c r="J341" s="23">
        <f t="shared" si="31"/>
        <v>0</v>
      </c>
      <c r="K341" s="26"/>
      <c r="L341" s="27">
        <f t="shared" si="29"/>
        <v>0</v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1:23" ht="20.100000000000001" customHeight="1" x14ac:dyDescent="0.2">
      <c r="A342" s="11">
        <v>331</v>
      </c>
      <c r="B342" s="12"/>
      <c r="C342" s="62"/>
      <c r="D342" s="1" t="str">
        <f t="shared" si="32"/>
        <v xml:space="preserve">, </v>
      </c>
      <c r="E342" s="1">
        <f t="shared" si="33"/>
        <v>331</v>
      </c>
      <c r="F342" s="19"/>
      <c r="G342" s="20"/>
      <c r="H342" s="20"/>
      <c r="I342" s="85">
        <f t="shared" si="30"/>
        <v>0</v>
      </c>
      <c r="J342" s="23">
        <f t="shared" si="31"/>
        <v>0</v>
      </c>
      <c r="K342" s="28"/>
      <c r="L342" s="27">
        <f t="shared" si="29"/>
        <v>0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1:23" ht="20.100000000000001" customHeight="1" x14ac:dyDescent="0.2">
      <c r="A343" s="9">
        <v>332</v>
      </c>
      <c r="B343" s="10"/>
      <c r="C343" s="61"/>
      <c r="D343" s="1" t="str">
        <f t="shared" si="32"/>
        <v xml:space="preserve">, </v>
      </c>
      <c r="E343" s="1">
        <f t="shared" si="33"/>
        <v>332</v>
      </c>
      <c r="F343" s="17"/>
      <c r="G343" s="18"/>
      <c r="H343" s="18"/>
      <c r="I343" s="85">
        <f t="shared" si="30"/>
        <v>0</v>
      </c>
      <c r="J343" s="23">
        <f t="shared" si="31"/>
        <v>0</v>
      </c>
      <c r="K343" s="26"/>
      <c r="L343" s="27">
        <f t="shared" si="29"/>
        <v>0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1:23" ht="20.100000000000001" customHeight="1" x14ac:dyDescent="0.2">
      <c r="A344" s="7">
        <v>333</v>
      </c>
      <c r="B344" s="8"/>
      <c r="C344" s="62"/>
      <c r="D344" s="1" t="str">
        <f t="shared" si="32"/>
        <v xml:space="preserve">, </v>
      </c>
      <c r="E344" s="1">
        <f t="shared" si="33"/>
        <v>333</v>
      </c>
      <c r="F344" s="15"/>
      <c r="G344" s="16"/>
      <c r="H344" s="16"/>
      <c r="I344" s="85">
        <f t="shared" si="30"/>
        <v>0</v>
      </c>
      <c r="J344" s="23">
        <f t="shared" si="31"/>
        <v>0</v>
      </c>
      <c r="K344" s="24"/>
      <c r="L344" s="25">
        <f t="shared" si="29"/>
        <v>0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1:23" ht="20.100000000000001" customHeight="1" x14ac:dyDescent="0.2">
      <c r="A345" s="9">
        <v>334</v>
      </c>
      <c r="B345" s="10"/>
      <c r="C345" s="61"/>
      <c r="D345" s="1" t="str">
        <f t="shared" si="32"/>
        <v xml:space="preserve">, </v>
      </c>
      <c r="E345" s="1">
        <f t="shared" si="33"/>
        <v>334</v>
      </c>
      <c r="F345" s="17"/>
      <c r="G345" s="18"/>
      <c r="H345" s="18"/>
      <c r="I345" s="85">
        <f t="shared" si="30"/>
        <v>0</v>
      </c>
      <c r="J345" s="23">
        <f t="shared" si="31"/>
        <v>0</v>
      </c>
      <c r="K345" s="26"/>
      <c r="L345" s="27">
        <f t="shared" si="29"/>
        <v>0</v>
      </c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1:23" ht="20.100000000000001" customHeight="1" x14ac:dyDescent="0.2">
      <c r="A346" s="11">
        <v>335</v>
      </c>
      <c r="B346" s="12"/>
      <c r="C346" s="62"/>
      <c r="D346" s="1" t="str">
        <f t="shared" si="32"/>
        <v xml:space="preserve">, </v>
      </c>
      <c r="E346" s="1">
        <f t="shared" si="33"/>
        <v>335</v>
      </c>
      <c r="F346" s="19"/>
      <c r="G346" s="20"/>
      <c r="H346" s="20"/>
      <c r="I346" s="85">
        <f t="shared" si="30"/>
        <v>0</v>
      </c>
      <c r="J346" s="23">
        <f t="shared" si="31"/>
        <v>0</v>
      </c>
      <c r="K346" s="28"/>
      <c r="L346" s="27">
        <f t="shared" si="29"/>
        <v>0</v>
      </c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1:23" ht="20.100000000000001" customHeight="1" x14ac:dyDescent="0.2">
      <c r="A347" s="9">
        <v>336</v>
      </c>
      <c r="B347" s="10"/>
      <c r="C347" s="61"/>
      <c r="D347" s="1" t="str">
        <f t="shared" si="32"/>
        <v xml:space="preserve">, </v>
      </c>
      <c r="E347" s="1">
        <f t="shared" si="33"/>
        <v>336</v>
      </c>
      <c r="F347" s="17"/>
      <c r="G347" s="18"/>
      <c r="H347" s="18"/>
      <c r="I347" s="85">
        <f t="shared" si="30"/>
        <v>0</v>
      </c>
      <c r="J347" s="23">
        <f t="shared" si="31"/>
        <v>0</v>
      </c>
      <c r="K347" s="26"/>
      <c r="L347" s="27">
        <f t="shared" si="29"/>
        <v>0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1:23" ht="20.100000000000001" customHeight="1" x14ac:dyDescent="0.2">
      <c r="A348" s="7">
        <v>337</v>
      </c>
      <c r="B348" s="8"/>
      <c r="C348" s="62"/>
      <c r="D348" s="1" t="str">
        <f t="shared" si="32"/>
        <v xml:space="preserve">, </v>
      </c>
      <c r="E348" s="1">
        <f t="shared" si="33"/>
        <v>337</v>
      </c>
      <c r="F348" s="15"/>
      <c r="G348" s="16"/>
      <c r="H348" s="16"/>
      <c r="I348" s="85">
        <f t="shared" si="30"/>
        <v>0</v>
      </c>
      <c r="J348" s="23">
        <f t="shared" si="31"/>
        <v>0</v>
      </c>
      <c r="K348" s="24"/>
      <c r="L348" s="25">
        <f t="shared" si="29"/>
        <v>0</v>
      </c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1:23" ht="20.100000000000001" customHeight="1" x14ac:dyDescent="0.2">
      <c r="A349" s="9">
        <v>338</v>
      </c>
      <c r="B349" s="10"/>
      <c r="C349" s="61"/>
      <c r="D349" s="1" t="str">
        <f t="shared" si="32"/>
        <v xml:space="preserve">, </v>
      </c>
      <c r="E349" s="1">
        <f t="shared" si="33"/>
        <v>338</v>
      </c>
      <c r="F349" s="17"/>
      <c r="G349" s="18"/>
      <c r="H349" s="18"/>
      <c r="I349" s="85">
        <f t="shared" si="30"/>
        <v>0</v>
      </c>
      <c r="J349" s="23">
        <f t="shared" si="31"/>
        <v>0</v>
      </c>
      <c r="K349" s="26"/>
      <c r="L349" s="27">
        <f t="shared" si="29"/>
        <v>0</v>
      </c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1:23" ht="20.100000000000001" customHeight="1" x14ac:dyDescent="0.2">
      <c r="A350" s="11">
        <v>339</v>
      </c>
      <c r="B350" s="12"/>
      <c r="C350" s="62"/>
      <c r="D350" s="1" t="str">
        <f t="shared" si="32"/>
        <v xml:space="preserve">, </v>
      </c>
      <c r="E350" s="1">
        <f t="shared" si="33"/>
        <v>339</v>
      </c>
      <c r="F350" s="19"/>
      <c r="G350" s="20"/>
      <c r="H350" s="20"/>
      <c r="I350" s="85">
        <f t="shared" si="30"/>
        <v>0</v>
      </c>
      <c r="J350" s="23">
        <f t="shared" si="31"/>
        <v>0</v>
      </c>
      <c r="K350" s="28"/>
      <c r="L350" s="27">
        <f t="shared" si="29"/>
        <v>0</v>
      </c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1:23" ht="20.100000000000001" customHeight="1" x14ac:dyDescent="0.2">
      <c r="A351" s="9">
        <v>340</v>
      </c>
      <c r="B351" s="10"/>
      <c r="C351" s="61"/>
      <c r="D351" s="1" t="str">
        <f t="shared" si="32"/>
        <v xml:space="preserve">, </v>
      </c>
      <c r="E351" s="1">
        <f t="shared" si="33"/>
        <v>340</v>
      </c>
      <c r="F351" s="17"/>
      <c r="G351" s="18"/>
      <c r="H351" s="18"/>
      <c r="I351" s="85">
        <f t="shared" si="30"/>
        <v>0</v>
      </c>
      <c r="J351" s="23">
        <f t="shared" si="31"/>
        <v>0</v>
      </c>
      <c r="K351" s="26"/>
      <c r="L351" s="27">
        <f t="shared" si="29"/>
        <v>0</v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1:23" ht="20.100000000000001" customHeight="1" x14ac:dyDescent="0.2">
      <c r="A352" s="7">
        <v>341</v>
      </c>
      <c r="B352" s="8"/>
      <c r="C352" s="62"/>
      <c r="D352" s="1" t="str">
        <f t="shared" si="32"/>
        <v xml:space="preserve">, </v>
      </c>
      <c r="E352" s="1">
        <f t="shared" si="33"/>
        <v>341</v>
      </c>
      <c r="F352" s="15"/>
      <c r="G352" s="16"/>
      <c r="H352" s="16"/>
      <c r="I352" s="85">
        <f t="shared" si="30"/>
        <v>0</v>
      </c>
      <c r="J352" s="23">
        <f t="shared" si="31"/>
        <v>0</v>
      </c>
      <c r="K352" s="24"/>
      <c r="L352" s="25">
        <f t="shared" si="29"/>
        <v>0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1:23" ht="20.100000000000001" customHeight="1" x14ac:dyDescent="0.2">
      <c r="A353" s="9">
        <v>342</v>
      </c>
      <c r="B353" s="10"/>
      <c r="C353" s="61"/>
      <c r="D353" s="1" t="str">
        <f t="shared" si="32"/>
        <v xml:space="preserve">, </v>
      </c>
      <c r="E353" s="1">
        <f t="shared" si="33"/>
        <v>342</v>
      </c>
      <c r="F353" s="17"/>
      <c r="G353" s="18"/>
      <c r="H353" s="18"/>
      <c r="I353" s="85">
        <f t="shared" si="30"/>
        <v>0</v>
      </c>
      <c r="J353" s="23">
        <f t="shared" si="31"/>
        <v>0</v>
      </c>
      <c r="K353" s="26"/>
      <c r="L353" s="27">
        <f t="shared" si="29"/>
        <v>0</v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1:23" ht="20.100000000000001" customHeight="1" x14ac:dyDescent="0.2">
      <c r="A354" s="11">
        <v>343</v>
      </c>
      <c r="B354" s="12"/>
      <c r="C354" s="62"/>
      <c r="D354" s="1" t="str">
        <f t="shared" si="32"/>
        <v xml:space="preserve">, </v>
      </c>
      <c r="E354" s="1">
        <f t="shared" si="33"/>
        <v>343</v>
      </c>
      <c r="F354" s="19"/>
      <c r="G354" s="20"/>
      <c r="H354" s="20"/>
      <c r="I354" s="85">
        <f t="shared" si="30"/>
        <v>0</v>
      </c>
      <c r="J354" s="23">
        <f t="shared" si="31"/>
        <v>0</v>
      </c>
      <c r="K354" s="28"/>
      <c r="L354" s="27">
        <f t="shared" si="29"/>
        <v>0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1:23" ht="20.100000000000001" customHeight="1" x14ac:dyDescent="0.2">
      <c r="A355" s="9">
        <v>344</v>
      </c>
      <c r="B355" s="10"/>
      <c r="C355" s="61"/>
      <c r="D355" s="1" t="str">
        <f t="shared" si="32"/>
        <v xml:space="preserve">, </v>
      </c>
      <c r="E355" s="1">
        <f t="shared" si="33"/>
        <v>344</v>
      </c>
      <c r="F355" s="17"/>
      <c r="G355" s="18"/>
      <c r="H355" s="18"/>
      <c r="I355" s="85">
        <f t="shared" si="30"/>
        <v>0</v>
      </c>
      <c r="J355" s="23">
        <f t="shared" si="31"/>
        <v>0</v>
      </c>
      <c r="K355" s="26"/>
      <c r="L355" s="27">
        <f t="shared" si="29"/>
        <v>0</v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1:23" ht="20.100000000000001" customHeight="1" x14ac:dyDescent="0.2">
      <c r="A356" s="7">
        <v>345</v>
      </c>
      <c r="B356" s="8"/>
      <c r="C356" s="62"/>
      <c r="D356" s="1" t="str">
        <f t="shared" si="32"/>
        <v xml:space="preserve">, </v>
      </c>
      <c r="E356" s="1">
        <f t="shared" si="33"/>
        <v>345</v>
      </c>
      <c r="F356" s="15"/>
      <c r="G356" s="16"/>
      <c r="H356" s="16"/>
      <c r="I356" s="85">
        <f t="shared" si="30"/>
        <v>0</v>
      </c>
      <c r="J356" s="23">
        <f t="shared" si="31"/>
        <v>0</v>
      </c>
      <c r="K356" s="24"/>
      <c r="L356" s="25">
        <f t="shared" si="29"/>
        <v>0</v>
      </c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1:23" ht="20.100000000000001" customHeight="1" x14ac:dyDescent="0.2">
      <c r="A357" s="9">
        <v>346</v>
      </c>
      <c r="B357" s="10"/>
      <c r="C357" s="61"/>
      <c r="D357" s="1" t="str">
        <f t="shared" si="32"/>
        <v xml:space="preserve">, </v>
      </c>
      <c r="E357" s="1">
        <f t="shared" si="33"/>
        <v>346</v>
      </c>
      <c r="F357" s="17"/>
      <c r="G357" s="18"/>
      <c r="H357" s="18"/>
      <c r="I357" s="85">
        <f t="shared" si="30"/>
        <v>0</v>
      </c>
      <c r="J357" s="23">
        <f t="shared" si="31"/>
        <v>0</v>
      </c>
      <c r="K357" s="26"/>
      <c r="L357" s="27">
        <f t="shared" si="29"/>
        <v>0</v>
      </c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1:23" ht="20.100000000000001" customHeight="1" x14ac:dyDescent="0.2">
      <c r="A358" s="11">
        <v>347</v>
      </c>
      <c r="B358" s="12"/>
      <c r="C358" s="62"/>
      <c r="D358" s="1" t="str">
        <f t="shared" si="32"/>
        <v xml:space="preserve">, </v>
      </c>
      <c r="E358" s="1">
        <f t="shared" si="33"/>
        <v>347</v>
      </c>
      <c r="F358" s="19"/>
      <c r="G358" s="20"/>
      <c r="H358" s="20"/>
      <c r="I358" s="85">
        <f t="shared" si="30"/>
        <v>0</v>
      </c>
      <c r="J358" s="23">
        <f t="shared" si="31"/>
        <v>0</v>
      </c>
      <c r="K358" s="28"/>
      <c r="L358" s="27">
        <f t="shared" si="29"/>
        <v>0</v>
      </c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1:23" ht="20.100000000000001" customHeight="1" x14ac:dyDescent="0.2">
      <c r="A359" s="9">
        <v>348</v>
      </c>
      <c r="B359" s="10"/>
      <c r="C359" s="61"/>
      <c r="D359" s="1" t="str">
        <f t="shared" si="32"/>
        <v xml:space="preserve">, </v>
      </c>
      <c r="E359" s="1">
        <f t="shared" si="33"/>
        <v>348</v>
      </c>
      <c r="F359" s="17"/>
      <c r="G359" s="18"/>
      <c r="H359" s="18"/>
      <c r="I359" s="85">
        <f t="shared" si="30"/>
        <v>0</v>
      </c>
      <c r="J359" s="23">
        <f t="shared" si="31"/>
        <v>0</v>
      </c>
      <c r="K359" s="26"/>
      <c r="L359" s="27">
        <f t="shared" si="29"/>
        <v>0</v>
      </c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1:23" ht="20.100000000000001" customHeight="1" x14ac:dyDescent="0.2">
      <c r="A360" s="7">
        <v>349</v>
      </c>
      <c r="B360" s="8"/>
      <c r="C360" s="62"/>
      <c r="D360" s="1" t="str">
        <f t="shared" si="32"/>
        <v xml:space="preserve">, </v>
      </c>
      <c r="E360" s="1">
        <f t="shared" si="33"/>
        <v>349</v>
      </c>
      <c r="F360" s="15"/>
      <c r="G360" s="16"/>
      <c r="H360" s="16"/>
      <c r="I360" s="85">
        <f t="shared" si="30"/>
        <v>0</v>
      </c>
      <c r="J360" s="23">
        <f t="shared" si="31"/>
        <v>0</v>
      </c>
      <c r="K360" s="24"/>
      <c r="L360" s="25">
        <f t="shared" si="29"/>
        <v>0</v>
      </c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1:23" ht="20.100000000000001" customHeight="1" x14ac:dyDescent="0.2">
      <c r="A361" s="9">
        <v>350</v>
      </c>
      <c r="B361" s="10"/>
      <c r="C361" s="61"/>
      <c r="D361" s="1" t="str">
        <f t="shared" si="32"/>
        <v xml:space="preserve">, </v>
      </c>
      <c r="E361" s="1">
        <f t="shared" si="33"/>
        <v>350</v>
      </c>
      <c r="F361" s="17"/>
      <c r="G361" s="18"/>
      <c r="H361" s="18"/>
      <c r="I361" s="85">
        <f t="shared" si="30"/>
        <v>0</v>
      </c>
      <c r="J361" s="23">
        <f t="shared" si="31"/>
        <v>0</v>
      </c>
      <c r="K361" s="26"/>
      <c r="L361" s="27">
        <f t="shared" si="29"/>
        <v>0</v>
      </c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1:23" ht="20.100000000000001" customHeight="1" x14ac:dyDescent="0.2">
      <c r="A362" s="11">
        <v>351</v>
      </c>
      <c r="B362" s="12"/>
      <c r="C362" s="62"/>
      <c r="D362" s="1" t="str">
        <f t="shared" si="32"/>
        <v xml:space="preserve">, </v>
      </c>
      <c r="E362" s="1">
        <f t="shared" si="33"/>
        <v>351</v>
      </c>
      <c r="F362" s="19"/>
      <c r="G362" s="20"/>
      <c r="H362" s="20"/>
      <c r="I362" s="85">
        <f t="shared" si="30"/>
        <v>0</v>
      </c>
      <c r="J362" s="23">
        <f t="shared" si="31"/>
        <v>0</v>
      </c>
      <c r="K362" s="28"/>
      <c r="L362" s="27">
        <f t="shared" si="29"/>
        <v>0</v>
      </c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1:23" ht="20.100000000000001" customHeight="1" x14ac:dyDescent="0.2">
      <c r="A363" s="9">
        <v>352</v>
      </c>
      <c r="B363" s="10"/>
      <c r="C363" s="61"/>
      <c r="D363" s="1" t="str">
        <f t="shared" si="32"/>
        <v xml:space="preserve">, </v>
      </c>
      <c r="E363" s="1">
        <f t="shared" si="33"/>
        <v>352</v>
      </c>
      <c r="F363" s="17"/>
      <c r="G363" s="18"/>
      <c r="H363" s="18"/>
      <c r="I363" s="85">
        <f t="shared" si="30"/>
        <v>0</v>
      </c>
      <c r="J363" s="23">
        <f t="shared" si="31"/>
        <v>0</v>
      </c>
      <c r="K363" s="26"/>
      <c r="L363" s="27">
        <f t="shared" si="29"/>
        <v>0</v>
      </c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1:23" ht="20.100000000000001" customHeight="1" x14ac:dyDescent="0.2">
      <c r="A364" s="7">
        <v>353</v>
      </c>
      <c r="B364" s="8"/>
      <c r="C364" s="62"/>
      <c r="D364" s="1" t="str">
        <f t="shared" si="32"/>
        <v xml:space="preserve">, </v>
      </c>
      <c r="E364" s="1">
        <f t="shared" si="33"/>
        <v>353</v>
      </c>
      <c r="F364" s="15"/>
      <c r="G364" s="16"/>
      <c r="H364" s="16"/>
      <c r="I364" s="85">
        <f t="shared" si="30"/>
        <v>0</v>
      </c>
      <c r="J364" s="23">
        <f t="shared" si="31"/>
        <v>0</v>
      </c>
      <c r="K364" s="24"/>
      <c r="L364" s="25">
        <f t="shared" si="29"/>
        <v>0</v>
      </c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1:23" ht="20.100000000000001" customHeight="1" x14ac:dyDescent="0.2">
      <c r="A365" s="9">
        <v>354</v>
      </c>
      <c r="B365" s="10"/>
      <c r="C365" s="61"/>
      <c r="D365" s="1" t="str">
        <f t="shared" si="32"/>
        <v xml:space="preserve">, </v>
      </c>
      <c r="E365" s="1">
        <f t="shared" si="33"/>
        <v>354</v>
      </c>
      <c r="F365" s="17"/>
      <c r="G365" s="18"/>
      <c r="H365" s="18"/>
      <c r="I365" s="85">
        <f t="shared" si="30"/>
        <v>0</v>
      </c>
      <c r="J365" s="23">
        <f t="shared" si="31"/>
        <v>0</v>
      </c>
      <c r="K365" s="26"/>
      <c r="L365" s="27">
        <f t="shared" si="29"/>
        <v>0</v>
      </c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1:23" ht="20.100000000000001" customHeight="1" x14ac:dyDescent="0.2">
      <c r="A366" s="11">
        <v>355</v>
      </c>
      <c r="B366" s="12"/>
      <c r="C366" s="62"/>
      <c r="D366" s="1" t="str">
        <f t="shared" si="32"/>
        <v xml:space="preserve">, </v>
      </c>
      <c r="E366" s="1">
        <f t="shared" si="33"/>
        <v>355</v>
      </c>
      <c r="F366" s="19"/>
      <c r="G366" s="20"/>
      <c r="H366" s="20"/>
      <c r="I366" s="85">
        <f t="shared" si="30"/>
        <v>0</v>
      </c>
      <c r="J366" s="23">
        <f t="shared" si="31"/>
        <v>0</v>
      </c>
      <c r="K366" s="28"/>
      <c r="L366" s="27">
        <f t="shared" si="29"/>
        <v>0</v>
      </c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1:23" ht="20.100000000000001" customHeight="1" x14ac:dyDescent="0.2">
      <c r="A367" s="9">
        <v>356</v>
      </c>
      <c r="B367" s="10"/>
      <c r="C367" s="61"/>
      <c r="D367" s="1" t="str">
        <f t="shared" si="32"/>
        <v xml:space="preserve">, </v>
      </c>
      <c r="E367" s="1">
        <f t="shared" si="33"/>
        <v>356</v>
      </c>
      <c r="F367" s="17"/>
      <c r="G367" s="18"/>
      <c r="H367" s="18"/>
      <c r="I367" s="85">
        <f t="shared" si="30"/>
        <v>0</v>
      </c>
      <c r="J367" s="23">
        <f t="shared" si="31"/>
        <v>0</v>
      </c>
      <c r="K367" s="26"/>
      <c r="L367" s="27">
        <f t="shared" si="29"/>
        <v>0</v>
      </c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1:23" ht="20.100000000000001" customHeight="1" x14ac:dyDescent="0.2">
      <c r="A368" s="7">
        <v>357</v>
      </c>
      <c r="B368" s="8"/>
      <c r="C368" s="62"/>
      <c r="D368" s="1" t="str">
        <f t="shared" si="32"/>
        <v xml:space="preserve">, </v>
      </c>
      <c r="E368" s="1">
        <f t="shared" si="33"/>
        <v>357</v>
      </c>
      <c r="F368" s="15"/>
      <c r="G368" s="16"/>
      <c r="H368" s="16"/>
      <c r="I368" s="85">
        <f t="shared" si="30"/>
        <v>0</v>
      </c>
      <c r="J368" s="23">
        <f t="shared" si="31"/>
        <v>0</v>
      </c>
      <c r="K368" s="24"/>
      <c r="L368" s="25">
        <f t="shared" si="29"/>
        <v>0</v>
      </c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1:23" ht="20.100000000000001" customHeight="1" x14ac:dyDescent="0.2">
      <c r="A369" s="9">
        <v>358</v>
      </c>
      <c r="B369" s="10"/>
      <c r="C369" s="61"/>
      <c r="D369" s="1" t="str">
        <f t="shared" si="32"/>
        <v xml:space="preserve">, </v>
      </c>
      <c r="E369" s="1">
        <f t="shared" si="33"/>
        <v>358</v>
      </c>
      <c r="F369" s="17"/>
      <c r="G369" s="18"/>
      <c r="H369" s="18"/>
      <c r="I369" s="85">
        <f t="shared" si="30"/>
        <v>0</v>
      </c>
      <c r="J369" s="23">
        <f t="shared" si="31"/>
        <v>0</v>
      </c>
      <c r="K369" s="26"/>
      <c r="L369" s="27">
        <f t="shared" si="29"/>
        <v>0</v>
      </c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1:23" ht="20.100000000000001" customHeight="1" x14ac:dyDescent="0.2">
      <c r="A370" s="11">
        <v>359</v>
      </c>
      <c r="B370" s="12"/>
      <c r="C370" s="62"/>
      <c r="D370" s="1" t="str">
        <f t="shared" si="32"/>
        <v xml:space="preserve">, </v>
      </c>
      <c r="E370" s="1">
        <f t="shared" si="33"/>
        <v>359</v>
      </c>
      <c r="F370" s="19"/>
      <c r="G370" s="20"/>
      <c r="H370" s="20"/>
      <c r="I370" s="85">
        <f t="shared" si="30"/>
        <v>0</v>
      </c>
      <c r="J370" s="23">
        <f t="shared" si="31"/>
        <v>0</v>
      </c>
      <c r="K370" s="28"/>
      <c r="L370" s="27">
        <f t="shared" si="29"/>
        <v>0</v>
      </c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1:23" ht="20.100000000000001" customHeight="1" x14ac:dyDescent="0.2">
      <c r="A371" s="9">
        <v>360</v>
      </c>
      <c r="B371" s="10"/>
      <c r="C371" s="61"/>
      <c r="D371" s="1" t="str">
        <f t="shared" si="32"/>
        <v xml:space="preserve">, </v>
      </c>
      <c r="E371" s="1">
        <f t="shared" si="33"/>
        <v>360</v>
      </c>
      <c r="F371" s="17"/>
      <c r="G371" s="18"/>
      <c r="H371" s="18"/>
      <c r="I371" s="85">
        <f t="shared" si="30"/>
        <v>0</v>
      </c>
      <c r="J371" s="23">
        <f t="shared" si="31"/>
        <v>0</v>
      </c>
      <c r="K371" s="26"/>
      <c r="L371" s="27">
        <f t="shared" si="29"/>
        <v>0</v>
      </c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1:23" ht="20.100000000000001" customHeight="1" x14ac:dyDescent="0.2">
      <c r="A372" s="7">
        <v>361</v>
      </c>
      <c r="B372" s="8"/>
      <c r="C372" s="62"/>
      <c r="D372" s="1" t="str">
        <f t="shared" si="32"/>
        <v xml:space="preserve">, </v>
      </c>
      <c r="E372" s="1">
        <f t="shared" si="33"/>
        <v>361</v>
      </c>
      <c r="F372" s="15"/>
      <c r="G372" s="16"/>
      <c r="H372" s="16"/>
      <c r="I372" s="85">
        <f t="shared" si="30"/>
        <v>0</v>
      </c>
      <c r="J372" s="23">
        <f t="shared" si="31"/>
        <v>0</v>
      </c>
      <c r="K372" s="24"/>
      <c r="L372" s="25">
        <f t="shared" si="29"/>
        <v>0</v>
      </c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1:23" ht="20.100000000000001" customHeight="1" x14ac:dyDescent="0.2">
      <c r="A373" s="9">
        <v>362</v>
      </c>
      <c r="B373" s="10"/>
      <c r="C373" s="61"/>
      <c r="D373" s="1" t="str">
        <f t="shared" si="32"/>
        <v xml:space="preserve">, </v>
      </c>
      <c r="E373" s="1">
        <f t="shared" si="33"/>
        <v>362</v>
      </c>
      <c r="F373" s="17"/>
      <c r="G373" s="18"/>
      <c r="H373" s="18"/>
      <c r="I373" s="85">
        <f t="shared" si="30"/>
        <v>0</v>
      </c>
      <c r="J373" s="23">
        <f t="shared" si="31"/>
        <v>0</v>
      </c>
      <c r="K373" s="26"/>
      <c r="L373" s="27">
        <f t="shared" si="29"/>
        <v>0</v>
      </c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1:23" ht="20.100000000000001" customHeight="1" x14ac:dyDescent="0.2">
      <c r="A374" s="11">
        <v>363</v>
      </c>
      <c r="B374" s="12"/>
      <c r="C374" s="62"/>
      <c r="D374" s="1" t="str">
        <f t="shared" si="32"/>
        <v xml:space="preserve">, </v>
      </c>
      <c r="E374" s="1">
        <f t="shared" si="33"/>
        <v>363</v>
      </c>
      <c r="F374" s="19"/>
      <c r="G374" s="20"/>
      <c r="H374" s="20"/>
      <c r="I374" s="85">
        <f t="shared" si="30"/>
        <v>0</v>
      </c>
      <c r="J374" s="23">
        <f t="shared" si="31"/>
        <v>0</v>
      </c>
      <c r="K374" s="28"/>
      <c r="L374" s="27">
        <f t="shared" si="29"/>
        <v>0</v>
      </c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1:23" ht="20.100000000000001" customHeight="1" x14ac:dyDescent="0.2">
      <c r="A375" s="9">
        <v>364</v>
      </c>
      <c r="B375" s="10"/>
      <c r="C375" s="61"/>
      <c r="D375" s="1" t="str">
        <f t="shared" si="32"/>
        <v xml:space="preserve">, </v>
      </c>
      <c r="E375" s="1">
        <f t="shared" si="33"/>
        <v>364</v>
      </c>
      <c r="F375" s="17"/>
      <c r="G375" s="18"/>
      <c r="H375" s="18"/>
      <c r="I375" s="85">
        <f t="shared" si="30"/>
        <v>0</v>
      </c>
      <c r="J375" s="23">
        <f t="shared" si="31"/>
        <v>0</v>
      </c>
      <c r="K375" s="26"/>
      <c r="L375" s="27">
        <f t="shared" si="29"/>
        <v>0</v>
      </c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1:23" ht="20.100000000000001" customHeight="1" x14ac:dyDescent="0.2">
      <c r="A376" s="7">
        <v>365</v>
      </c>
      <c r="B376" s="8"/>
      <c r="C376" s="62"/>
      <c r="D376" s="1" t="str">
        <f t="shared" si="32"/>
        <v xml:space="preserve">, </v>
      </c>
      <c r="E376" s="1">
        <f t="shared" si="33"/>
        <v>365</v>
      </c>
      <c r="F376" s="15"/>
      <c r="G376" s="16"/>
      <c r="H376" s="16"/>
      <c r="I376" s="85">
        <f t="shared" si="30"/>
        <v>0</v>
      </c>
      <c r="J376" s="23">
        <f t="shared" si="31"/>
        <v>0</v>
      </c>
      <c r="K376" s="24"/>
      <c r="L376" s="25">
        <f t="shared" si="29"/>
        <v>0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1:23" ht="20.100000000000001" customHeight="1" x14ac:dyDescent="0.2">
      <c r="A377" s="9">
        <v>366</v>
      </c>
      <c r="B377" s="10"/>
      <c r="C377" s="61"/>
      <c r="D377" s="1" t="str">
        <f t="shared" si="32"/>
        <v xml:space="preserve">, </v>
      </c>
      <c r="E377" s="1">
        <f t="shared" si="33"/>
        <v>366</v>
      </c>
      <c r="F377" s="17"/>
      <c r="G377" s="18"/>
      <c r="H377" s="18"/>
      <c r="I377" s="85">
        <f t="shared" si="30"/>
        <v>0</v>
      </c>
      <c r="J377" s="23">
        <f t="shared" si="31"/>
        <v>0</v>
      </c>
      <c r="K377" s="26"/>
      <c r="L377" s="27">
        <f t="shared" si="29"/>
        <v>0</v>
      </c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1:23" ht="20.100000000000001" customHeight="1" x14ac:dyDescent="0.2">
      <c r="A378" s="11">
        <v>367</v>
      </c>
      <c r="B378" s="12"/>
      <c r="C378" s="62"/>
      <c r="D378" s="1" t="str">
        <f t="shared" si="32"/>
        <v xml:space="preserve">, </v>
      </c>
      <c r="E378" s="1">
        <f t="shared" si="33"/>
        <v>367</v>
      </c>
      <c r="F378" s="19"/>
      <c r="G378" s="20"/>
      <c r="H378" s="20"/>
      <c r="I378" s="85">
        <f t="shared" si="30"/>
        <v>0</v>
      </c>
      <c r="J378" s="23">
        <f t="shared" si="31"/>
        <v>0</v>
      </c>
      <c r="K378" s="28"/>
      <c r="L378" s="27">
        <f t="shared" si="29"/>
        <v>0</v>
      </c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1:23" ht="20.100000000000001" customHeight="1" x14ac:dyDescent="0.2">
      <c r="A379" s="9">
        <v>368</v>
      </c>
      <c r="B379" s="10"/>
      <c r="C379" s="61"/>
      <c r="D379" s="1" t="str">
        <f t="shared" si="32"/>
        <v xml:space="preserve">, </v>
      </c>
      <c r="E379" s="1">
        <f t="shared" si="33"/>
        <v>368</v>
      </c>
      <c r="F379" s="17"/>
      <c r="G379" s="18"/>
      <c r="H379" s="18"/>
      <c r="I379" s="85">
        <f t="shared" si="30"/>
        <v>0</v>
      </c>
      <c r="J379" s="23">
        <f t="shared" si="31"/>
        <v>0</v>
      </c>
      <c r="K379" s="26"/>
      <c r="L379" s="27">
        <f t="shared" si="29"/>
        <v>0</v>
      </c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1:23" ht="20.100000000000001" customHeight="1" x14ac:dyDescent="0.2">
      <c r="A380" s="7">
        <v>369</v>
      </c>
      <c r="B380" s="8"/>
      <c r="C380" s="62"/>
      <c r="D380" s="1" t="str">
        <f t="shared" si="32"/>
        <v xml:space="preserve">, </v>
      </c>
      <c r="E380" s="1">
        <f t="shared" si="33"/>
        <v>369</v>
      </c>
      <c r="F380" s="15"/>
      <c r="G380" s="16"/>
      <c r="H380" s="16"/>
      <c r="I380" s="85">
        <f t="shared" si="30"/>
        <v>0</v>
      </c>
      <c r="J380" s="23">
        <f t="shared" si="31"/>
        <v>0</v>
      </c>
      <c r="K380" s="24"/>
      <c r="L380" s="25">
        <f t="shared" si="29"/>
        <v>0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1:23" ht="20.100000000000001" customHeight="1" x14ac:dyDescent="0.2">
      <c r="A381" s="9">
        <v>370</v>
      </c>
      <c r="B381" s="10"/>
      <c r="C381" s="61"/>
      <c r="D381" s="1" t="str">
        <f t="shared" si="32"/>
        <v xml:space="preserve">, </v>
      </c>
      <c r="E381" s="1">
        <f t="shared" si="33"/>
        <v>370</v>
      </c>
      <c r="F381" s="17"/>
      <c r="G381" s="18"/>
      <c r="H381" s="18"/>
      <c r="I381" s="85">
        <f t="shared" si="30"/>
        <v>0</v>
      </c>
      <c r="J381" s="23">
        <f t="shared" si="31"/>
        <v>0</v>
      </c>
      <c r="K381" s="26"/>
      <c r="L381" s="27">
        <f t="shared" si="29"/>
        <v>0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1:23" ht="20.100000000000001" customHeight="1" x14ac:dyDescent="0.2">
      <c r="A382" s="11">
        <v>371</v>
      </c>
      <c r="B382" s="12"/>
      <c r="C382" s="62"/>
      <c r="D382" s="1" t="str">
        <f t="shared" si="32"/>
        <v xml:space="preserve">, </v>
      </c>
      <c r="E382" s="1">
        <f t="shared" si="33"/>
        <v>371</v>
      </c>
      <c r="F382" s="19"/>
      <c r="G382" s="20"/>
      <c r="H382" s="20"/>
      <c r="I382" s="85">
        <f t="shared" si="30"/>
        <v>0</v>
      </c>
      <c r="J382" s="23">
        <f t="shared" si="31"/>
        <v>0</v>
      </c>
      <c r="K382" s="28"/>
      <c r="L382" s="27">
        <f t="shared" si="29"/>
        <v>0</v>
      </c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1:23" ht="20.100000000000001" customHeight="1" x14ac:dyDescent="0.2">
      <c r="A383" s="9">
        <v>372</v>
      </c>
      <c r="B383" s="10"/>
      <c r="C383" s="61"/>
      <c r="D383" s="1" t="str">
        <f t="shared" si="32"/>
        <v xml:space="preserve">, </v>
      </c>
      <c r="E383" s="1">
        <f t="shared" si="33"/>
        <v>372</v>
      </c>
      <c r="F383" s="17"/>
      <c r="G383" s="18"/>
      <c r="H383" s="18"/>
      <c r="I383" s="85">
        <f t="shared" si="30"/>
        <v>0</v>
      </c>
      <c r="J383" s="23">
        <f t="shared" si="31"/>
        <v>0</v>
      </c>
      <c r="K383" s="26"/>
      <c r="L383" s="27">
        <f t="shared" si="29"/>
        <v>0</v>
      </c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1:23" ht="20.100000000000001" customHeight="1" x14ac:dyDescent="0.2">
      <c r="A384" s="7">
        <v>373</v>
      </c>
      <c r="B384" s="8"/>
      <c r="C384" s="62"/>
      <c r="D384" s="1" t="str">
        <f t="shared" si="32"/>
        <v xml:space="preserve">, </v>
      </c>
      <c r="E384" s="1">
        <f t="shared" si="33"/>
        <v>373</v>
      </c>
      <c r="F384" s="15"/>
      <c r="G384" s="16"/>
      <c r="H384" s="16"/>
      <c r="I384" s="85">
        <f t="shared" si="30"/>
        <v>0</v>
      </c>
      <c r="J384" s="23">
        <f t="shared" si="31"/>
        <v>0</v>
      </c>
      <c r="K384" s="24"/>
      <c r="L384" s="25">
        <f t="shared" si="29"/>
        <v>0</v>
      </c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1:23" ht="20.100000000000001" customHeight="1" x14ac:dyDescent="0.2">
      <c r="A385" s="9">
        <v>374</v>
      </c>
      <c r="B385" s="10"/>
      <c r="C385" s="61"/>
      <c r="D385" s="1" t="str">
        <f t="shared" si="32"/>
        <v xml:space="preserve">, </v>
      </c>
      <c r="E385" s="1">
        <f t="shared" si="33"/>
        <v>374</v>
      </c>
      <c r="F385" s="17"/>
      <c r="G385" s="18"/>
      <c r="H385" s="18"/>
      <c r="I385" s="85">
        <f t="shared" si="30"/>
        <v>0</v>
      </c>
      <c r="J385" s="23">
        <f t="shared" si="31"/>
        <v>0</v>
      </c>
      <c r="K385" s="26"/>
      <c r="L385" s="27">
        <f t="shared" si="29"/>
        <v>0</v>
      </c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1:23" ht="20.100000000000001" customHeight="1" x14ac:dyDescent="0.2">
      <c r="A386" s="11">
        <v>375</v>
      </c>
      <c r="B386" s="12"/>
      <c r="C386" s="62"/>
      <c r="D386" s="1" t="str">
        <f t="shared" si="32"/>
        <v xml:space="preserve">, </v>
      </c>
      <c r="E386" s="1">
        <f t="shared" si="33"/>
        <v>375</v>
      </c>
      <c r="F386" s="19"/>
      <c r="G386" s="20"/>
      <c r="H386" s="20"/>
      <c r="I386" s="85">
        <f t="shared" si="30"/>
        <v>0</v>
      </c>
      <c r="J386" s="23">
        <f t="shared" si="31"/>
        <v>0</v>
      </c>
      <c r="K386" s="28"/>
      <c r="L386" s="27">
        <f t="shared" si="29"/>
        <v>0</v>
      </c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1:23" ht="20.100000000000001" customHeight="1" x14ac:dyDescent="0.2">
      <c r="A387" s="9">
        <v>376</v>
      </c>
      <c r="B387" s="10"/>
      <c r="C387" s="61"/>
      <c r="D387" s="1" t="str">
        <f t="shared" si="32"/>
        <v xml:space="preserve">, </v>
      </c>
      <c r="E387" s="1">
        <f t="shared" si="33"/>
        <v>376</v>
      </c>
      <c r="F387" s="17"/>
      <c r="G387" s="18"/>
      <c r="H387" s="18"/>
      <c r="I387" s="85">
        <f t="shared" si="30"/>
        <v>0</v>
      </c>
      <c r="J387" s="23">
        <f t="shared" si="31"/>
        <v>0</v>
      </c>
      <c r="K387" s="26"/>
      <c r="L387" s="27">
        <f t="shared" si="29"/>
        <v>0</v>
      </c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1:23" ht="20.100000000000001" customHeight="1" x14ac:dyDescent="0.2">
      <c r="A388" s="7">
        <v>377</v>
      </c>
      <c r="B388" s="8"/>
      <c r="C388" s="62"/>
      <c r="D388" s="1" t="str">
        <f t="shared" si="32"/>
        <v xml:space="preserve">, </v>
      </c>
      <c r="E388" s="1">
        <f t="shared" si="33"/>
        <v>377</v>
      </c>
      <c r="F388" s="15"/>
      <c r="G388" s="16"/>
      <c r="H388" s="16"/>
      <c r="I388" s="85">
        <f t="shared" si="30"/>
        <v>0</v>
      </c>
      <c r="J388" s="23">
        <f t="shared" si="31"/>
        <v>0</v>
      </c>
      <c r="K388" s="24"/>
      <c r="L388" s="25">
        <f t="shared" ref="L388:L451" si="34">J388-K388</f>
        <v>0</v>
      </c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1:23" ht="20.100000000000001" customHeight="1" x14ac:dyDescent="0.2">
      <c r="A389" s="9">
        <v>378</v>
      </c>
      <c r="B389" s="10"/>
      <c r="C389" s="61"/>
      <c r="D389" s="1" t="str">
        <f t="shared" si="32"/>
        <v xml:space="preserve">, </v>
      </c>
      <c r="E389" s="1">
        <f t="shared" si="33"/>
        <v>378</v>
      </c>
      <c r="F389" s="17"/>
      <c r="G389" s="18"/>
      <c r="H389" s="18"/>
      <c r="I389" s="85">
        <f t="shared" si="30"/>
        <v>0</v>
      </c>
      <c r="J389" s="23">
        <f t="shared" si="31"/>
        <v>0</v>
      </c>
      <c r="K389" s="26"/>
      <c r="L389" s="27">
        <f t="shared" si="34"/>
        <v>0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1:23" ht="20.100000000000001" customHeight="1" x14ac:dyDescent="0.2">
      <c r="A390" s="11">
        <v>379</v>
      </c>
      <c r="B390" s="12"/>
      <c r="C390" s="62"/>
      <c r="D390" s="1" t="str">
        <f t="shared" si="32"/>
        <v xml:space="preserve">, </v>
      </c>
      <c r="E390" s="1">
        <f t="shared" si="33"/>
        <v>379</v>
      </c>
      <c r="F390" s="19"/>
      <c r="G390" s="20"/>
      <c r="H390" s="20"/>
      <c r="I390" s="85">
        <f t="shared" si="30"/>
        <v>0</v>
      </c>
      <c r="J390" s="23">
        <f t="shared" si="31"/>
        <v>0</v>
      </c>
      <c r="K390" s="28"/>
      <c r="L390" s="27">
        <f t="shared" si="34"/>
        <v>0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1:23" ht="20.100000000000001" customHeight="1" x14ac:dyDescent="0.2">
      <c r="A391" s="9">
        <v>380</v>
      </c>
      <c r="B391" s="10"/>
      <c r="C391" s="61"/>
      <c r="D391" s="1" t="str">
        <f t="shared" si="32"/>
        <v xml:space="preserve">, </v>
      </c>
      <c r="E391" s="1">
        <f t="shared" si="33"/>
        <v>380</v>
      </c>
      <c r="F391" s="17"/>
      <c r="G391" s="18"/>
      <c r="H391" s="18"/>
      <c r="I391" s="85">
        <f t="shared" si="30"/>
        <v>0</v>
      </c>
      <c r="J391" s="23">
        <f t="shared" si="31"/>
        <v>0</v>
      </c>
      <c r="K391" s="26"/>
      <c r="L391" s="27">
        <f t="shared" si="34"/>
        <v>0</v>
      </c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1:23" ht="20.100000000000001" customHeight="1" x14ac:dyDescent="0.2">
      <c r="A392" s="7">
        <v>381</v>
      </c>
      <c r="B392" s="8"/>
      <c r="C392" s="62"/>
      <c r="D392" s="1" t="str">
        <f t="shared" si="32"/>
        <v xml:space="preserve">, </v>
      </c>
      <c r="E392" s="1">
        <f t="shared" si="33"/>
        <v>381</v>
      </c>
      <c r="F392" s="15"/>
      <c r="G392" s="16"/>
      <c r="H392" s="16"/>
      <c r="I392" s="85">
        <f t="shared" si="30"/>
        <v>0</v>
      </c>
      <c r="J392" s="23">
        <f t="shared" si="31"/>
        <v>0</v>
      </c>
      <c r="K392" s="24"/>
      <c r="L392" s="25">
        <f t="shared" si="34"/>
        <v>0</v>
      </c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1:23" ht="20.100000000000001" customHeight="1" x14ac:dyDescent="0.2">
      <c r="A393" s="9">
        <v>382</v>
      </c>
      <c r="B393" s="10"/>
      <c r="C393" s="61"/>
      <c r="D393" s="1" t="str">
        <f t="shared" si="32"/>
        <v xml:space="preserve">, </v>
      </c>
      <c r="E393" s="1">
        <f t="shared" si="33"/>
        <v>382</v>
      </c>
      <c r="F393" s="17"/>
      <c r="G393" s="18"/>
      <c r="H393" s="18"/>
      <c r="I393" s="85">
        <f t="shared" si="30"/>
        <v>0</v>
      </c>
      <c r="J393" s="23">
        <f t="shared" si="31"/>
        <v>0</v>
      </c>
      <c r="K393" s="26"/>
      <c r="L393" s="27">
        <f t="shared" si="34"/>
        <v>0</v>
      </c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1:23" ht="20.100000000000001" customHeight="1" x14ac:dyDescent="0.2">
      <c r="A394" s="11">
        <v>383</v>
      </c>
      <c r="B394" s="12"/>
      <c r="C394" s="62"/>
      <c r="D394" s="1" t="str">
        <f t="shared" si="32"/>
        <v xml:space="preserve">, </v>
      </c>
      <c r="E394" s="1">
        <f t="shared" si="33"/>
        <v>383</v>
      </c>
      <c r="F394" s="19"/>
      <c r="G394" s="20"/>
      <c r="H394" s="20"/>
      <c r="I394" s="85">
        <f t="shared" si="30"/>
        <v>0</v>
      </c>
      <c r="J394" s="23">
        <f t="shared" si="31"/>
        <v>0</v>
      </c>
      <c r="K394" s="28"/>
      <c r="L394" s="27">
        <f t="shared" si="34"/>
        <v>0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1:23" ht="20.100000000000001" customHeight="1" x14ac:dyDescent="0.2">
      <c r="A395" s="9">
        <v>384</v>
      </c>
      <c r="B395" s="10"/>
      <c r="C395" s="61"/>
      <c r="D395" s="1" t="str">
        <f t="shared" si="32"/>
        <v xml:space="preserve">, </v>
      </c>
      <c r="E395" s="1">
        <f t="shared" si="33"/>
        <v>384</v>
      </c>
      <c r="F395" s="17"/>
      <c r="G395" s="18"/>
      <c r="H395" s="18"/>
      <c r="I395" s="85">
        <f t="shared" si="30"/>
        <v>0</v>
      </c>
      <c r="J395" s="23">
        <f t="shared" si="31"/>
        <v>0</v>
      </c>
      <c r="K395" s="26"/>
      <c r="L395" s="27">
        <f t="shared" si="34"/>
        <v>0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1:23" ht="20.100000000000001" customHeight="1" x14ac:dyDescent="0.2">
      <c r="A396" s="7">
        <v>385</v>
      </c>
      <c r="B396" s="8"/>
      <c r="C396" s="62"/>
      <c r="D396" s="1" t="str">
        <f t="shared" si="32"/>
        <v xml:space="preserve">, </v>
      </c>
      <c r="E396" s="1">
        <f t="shared" si="33"/>
        <v>385</v>
      </c>
      <c r="F396" s="15"/>
      <c r="G396" s="16"/>
      <c r="H396" s="16"/>
      <c r="I396" s="85">
        <f t="shared" ref="I396:I459" si="35">SUM(F396:H396)</f>
        <v>0</v>
      </c>
      <c r="J396" s="23">
        <f t="shared" ref="J396:J459" si="36">IFERROR(I396*$F$3,0)</f>
        <v>0</v>
      </c>
      <c r="K396" s="24"/>
      <c r="L396" s="25">
        <f t="shared" si="34"/>
        <v>0</v>
      </c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1:23" ht="20.100000000000001" customHeight="1" x14ac:dyDescent="0.2">
      <c r="A397" s="9">
        <v>386</v>
      </c>
      <c r="B397" s="10"/>
      <c r="C397" s="61"/>
      <c r="D397" s="1" t="str">
        <f t="shared" ref="D397:D460" si="37">CONCATENATE(C397,", ",B397)</f>
        <v xml:space="preserve">, </v>
      </c>
      <c r="E397" s="1">
        <f t="shared" ref="E397:E460" si="38">A397</f>
        <v>386</v>
      </c>
      <c r="F397" s="17"/>
      <c r="G397" s="18"/>
      <c r="H397" s="18"/>
      <c r="I397" s="85">
        <f t="shared" si="35"/>
        <v>0</v>
      </c>
      <c r="J397" s="23">
        <f t="shared" si="36"/>
        <v>0</v>
      </c>
      <c r="K397" s="26"/>
      <c r="L397" s="27">
        <f t="shared" si="34"/>
        <v>0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1:23" ht="20.100000000000001" customHeight="1" x14ac:dyDescent="0.2">
      <c r="A398" s="11">
        <v>387</v>
      </c>
      <c r="B398" s="12"/>
      <c r="C398" s="62"/>
      <c r="D398" s="1" t="str">
        <f t="shared" si="37"/>
        <v xml:space="preserve">, </v>
      </c>
      <c r="E398" s="1">
        <f t="shared" si="38"/>
        <v>387</v>
      </c>
      <c r="F398" s="19"/>
      <c r="G398" s="20"/>
      <c r="H398" s="20"/>
      <c r="I398" s="85">
        <f t="shared" si="35"/>
        <v>0</v>
      </c>
      <c r="J398" s="23">
        <f t="shared" si="36"/>
        <v>0</v>
      </c>
      <c r="K398" s="28"/>
      <c r="L398" s="27">
        <f t="shared" si="34"/>
        <v>0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1:23" ht="20.100000000000001" customHeight="1" x14ac:dyDescent="0.2">
      <c r="A399" s="9">
        <v>388</v>
      </c>
      <c r="B399" s="10"/>
      <c r="C399" s="61"/>
      <c r="D399" s="1" t="str">
        <f t="shared" si="37"/>
        <v xml:space="preserve">, </v>
      </c>
      <c r="E399" s="1">
        <f t="shared" si="38"/>
        <v>388</v>
      </c>
      <c r="F399" s="17"/>
      <c r="G399" s="18"/>
      <c r="H399" s="18"/>
      <c r="I399" s="85">
        <f t="shared" si="35"/>
        <v>0</v>
      </c>
      <c r="J399" s="23">
        <f t="shared" si="36"/>
        <v>0</v>
      </c>
      <c r="K399" s="26"/>
      <c r="L399" s="27">
        <f t="shared" si="34"/>
        <v>0</v>
      </c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1:23" ht="20.100000000000001" customHeight="1" x14ac:dyDescent="0.2">
      <c r="A400" s="7">
        <v>389</v>
      </c>
      <c r="B400" s="8"/>
      <c r="C400" s="62"/>
      <c r="D400" s="1" t="str">
        <f t="shared" si="37"/>
        <v xml:space="preserve">, </v>
      </c>
      <c r="E400" s="1">
        <f t="shared" si="38"/>
        <v>389</v>
      </c>
      <c r="F400" s="15"/>
      <c r="G400" s="16"/>
      <c r="H400" s="16"/>
      <c r="I400" s="85">
        <f t="shared" si="35"/>
        <v>0</v>
      </c>
      <c r="J400" s="23">
        <f t="shared" si="36"/>
        <v>0</v>
      </c>
      <c r="K400" s="24"/>
      <c r="L400" s="25">
        <f t="shared" si="34"/>
        <v>0</v>
      </c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1:23" ht="20.100000000000001" customHeight="1" x14ac:dyDescent="0.2">
      <c r="A401" s="9">
        <v>390</v>
      </c>
      <c r="B401" s="10"/>
      <c r="C401" s="61"/>
      <c r="D401" s="1" t="str">
        <f t="shared" si="37"/>
        <v xml:space="preserve">, </v>
      </c>
      <c r="E401" s="1">
        <f t="shared" si="38"/>
        <v>390</v>
      </c>
      <c r="F401" s="17"/>
      <c r="G401" s="18"/>
      <c r="H401" s="18"/>
      <c r="I401" s="85">
        <f t="shared" si="35"/>
        <v>0</v>
      </c>
      <c r="J401" s="23">
        <f t="shared" si="36"/>
        <v>0</v>
      </c>
      <c r="K401" s="26"/>
      <c r="L401" s="27">
        <f t="shared" si="34"/>
        <v>0</v>
      </c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1:23" ht="20.100000000000001" customHeight="1" x14ac:dyDescent="0.2">
      <c r="A402" s="11">
        <v>391</v>
      </c>
      <c r="B402" s="12"/>
      <c r="C402" s="62"/>
      <c r="D402" s="1" t="str">
        <f t="shared" si="37"/>
        <v xml:space="preserve">, </v>
      </c>
      <c r="E402" s="1">
        <f t="shared" si="38"/>
        <v>391</v>
      </c>
      <c r="F402" s="19"/>
      <c r="G402" s="20"/>
      <c r="H402" s="20"/>
      <c r="I402" s="85">
        <f t="shared" si="35"/>
        <v>0</v>
      </c>
      <c r="J402" s="23">
        <f t="shared" si="36"/>
        <v>0</v>
      </c>
      <c r="K402" s="28"/>
      <c r="L402" s="27">
        <f t="shared" si="34"/>
        <v>0</v>
      </c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1:23" ht="20.100000000000001" customHeight="1" x14ac:dyDescent="0.2">
      <c r="A403" s="9">
        <v>392</v>
      </c>
      <c r="B403" s="10"/>
      <c r="C403" s="61"/>
      <c r="D403" s="1" t="str">
        <f t="shared" si="37"/>
        <v xml:space="preserve">, </v>
      </c>
      <c r="E403" s="1">
        <f t="shared" si="38"/>
        <v>392</v>
      </c>
      <c r="F403" s="17"/>
      <c r="G403" s="18"/>
      <c r="H403" s="18"/>
      <c r="I403" s="85">
        <f t="shared" si="35"/>
        <v>0</v>
      </c>
      <c r="J403" s="23">
        <f t="shared" si="36"/>
        <v>0</v>
      </c>
      <c r="K403" s="26"/>
      <c r="L403" s="27">
        <f t="shared" si="34"/>
        <v>0</v>
      </c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1:23" ht="20.100000000000001" customHeight="1" x14ac:dyDescent="0.2">
      <c r="A404" s="7">
        <v>393</v>
      </c>
      <c r="B404" s="8"/>
      <c r="C404" s="62"/>
      <c r="D404" s="1" t="str">
        <f t="shared" si="37"/>
        <v xml:space="preserve">, </v>
      </c>
      <c r="E404" s="1">
        <f t="shared" si="38"/>
        <v>393</v>
      </c>
      <c r="F404" s="15"/>
      <c r="G404" s="16"/>
      <c r="H404" s="16"/>
      <c r="I404" s="85">
        <f t="shared" si="35"/>
        <v>0</v>
      </c>
      <c r="J404" s="23">
        <f t="shared" si="36"/>
        <v>0</v>
      </c>
      <c r="K404" s="24"/>
      <c r="L404" s="25">
        <f t="shared" si="34"/>
        <v>0</v>
      </c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1:23" ht="20.100000000000001" customHeight="1" x14ac:dyDescent="0.2">
      <c r="A405" s="9">
        <v>394</v>
      </c>
      <c r="B405" s="10"/>
      <c r="C405" s="61"/>
      <c r="D405" s="1" t="str">
        <f t="shared" si="37"/>
        <v xml:space="preserve">, </v>
      </c>
      <c r="E405" s="1">
        <f t="shared" si="38"/>
        <v>394</v>
      </c>
      <c r="F405" s="17"/>
      <c r="G405" s="18"/>
      <c r="H405" s="18"/>
      <c r="I405" s="85">
        <f t="shared" si="35"/>
        <v>0</v>
      </c>
      <c r="J405" s="23">
        <f t="shared" si="36"/>
        <v>0</v>
      </c>
      <c r="K405" s="26"/>
      <c r="L405" s="27">
        <f t="shared" si="34"/>
        <v>0</v>
      </c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1:23" ht="20.100000000000001" customHeight="1" x14ac:dyDescent="0.2">
      <c r="A406" s="11">
        <v>395</v>
      </c>
      <c r="B406" s="12"/>
      <c r="C406" s="62"/>
      <c r="D406" s="1" t="str">
        <f t="shared" si="37"/>
        <v xml:space="preserve">, </v>
      </c>
      <c r="E406" s="1">
        <f t="shared" si="38"/>
        <v>395</v>
      </c>
      <c r="F406" s="19"/>
      <c r="G406" s="20"/>
      <c r="H406" s="20"/>
      <c r="I406" s="85">
        <f t="shared" si="35"/>
        <v>0</v>
      </c>
      <c r="J406" s="23">
        <f t="shared" si="36"/>
        <v>0</v>
      </c>
      <c r="K406" s="28"/>
      <c r="L406" s="27">
        <f t="shared" si="34"/>
        <v>0</v>
      </c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1:23" ht="20.100000000000001" customHeight="1" x14ac:dyDescent="0.2">
      <c r="A407" s="9">
        <v>396</v>
      </c>
      <c r="B407" s="10"/>
      <c r="C407" s="61"/>
      <c r="D407" s="1" t="str">
        <f t="shared" si="37"/>
        <v xml:space="preserve">, </v>
      </c>
      <c r="E407" s="1">
        <f t="shared" si="38"/>
        <v>396</v>
      </c>
      <c r="F407" s="17"/>
      <c r="G407" s="18"/>
      <c r="H407" s="18"/>
      <c r="I407" s="85">
        <f t="shared" si="35"/>
        <v>0</v>
      </c>
      <c r="J407" s="23">
        <f t="shared" si="36"/>
        <v>0</v>
      </c>
      <c r="K407" s="26"/>
      <c r="L407" s="27">
        <f t="shared" si="34"/>
        <v>0</v>
      </c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1:23" ht="20.100000000000001" customHeight="1" x14ac:dyDescent="0.2">
      <c r="A408" s="7">
        <v>397</v>
      </c>
      <c r="B408" s="8"/>
      <c r="C408" s="62"/>
      <c r="D408" s="1" t="str">
        <f t="shared" si="37"/>
        <v xml:space="preserve">, </v>
      </c>
      <c r="E408" s="1">
        <f t="shared" si="38"/>
        <v>397</v>
      </c>
      <c r="F408" s="15"/>
      <c r="G408" s="16"/>
      <c r="H408" s="16"/>
      <c r="I408" s="85">
        <f t="shared" si="35"/>
        <v>0</v>
      </c>
      <c r="J408" s="23">
        <f t="shared" si="36"/>
        <v>0</v>
      </c>
      <c r="K408" s="24"/>
      <c r="L408" s="25">
        <f t="shared" si="34"/>
        <v>0</v>
      </c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1:23" ht="20.100000000000001" customHeight="1" x14ac:dyDescent="0.2">
      <c r="A409" s="9">
        <v>398</v>
      </c>
      <c r="B409" s="10"/>
      <c r="C409" s="61"/>
      <c r="D409" s="1" t="str">
        <f t="shared" si="37"/>
        <v xml:space="preserve">, </v>
      </c>
      <c r="E409" s="1">
        <f t="shared" si="38"/>
        <v>398</v>
      </c>
      <c r="F409" s="17"/>
      <c r="G409" s="18"/>
      <c r="H409" s="18"/>
      <c r="I409" s="85">
        <f t="shared" si="35"/>
        <v>0</v>
      </c>
      <c r="J409" s="23">
        <f t="shared" si="36"/>
        <v>0</v>
      </c>
      <c r="K409" s="26"/>
      <c r="L409" s="27">
        <f t="shared" si="34"/>
        <v>0</v>
      </c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1:23" ht="20.100000000000001" customHeight="1" x14ac:dyDescent="0.2">
      <c r="A410" s="11">
        <v>399</v>
      </c>
      <c r="B410" s="12"/>
      <c r="C410" s="62"/>
      <c r="D410" s="1" t="str">
        <f t="shared" si="37"/>
        <v xml:space="preserve">, </v>
      </c>
      <c r="E410" s="1">
        <f t="shared" si="38"/>
        <v>399</v>
      </c>
      <c r="F410" s="19"/>
      <c r="G410" s="20"/>
      <c r="H410" s="20"/>
      <c r="I410" s="85">
        <f t="shared" si="35"/>
        <v>0</v>
      </c>
      <c r="J410" s="23">
        <f t="shared" si="36"/>
        <v>0</v>
      </c>
      <c r="K410" s="28"/>
      <c r="L410" s="27">
        <f t="shared" si="34"/>
        <v>0</v>
      </c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1:23" ht="20.100000000000001" customHeight="1" x14ac:dyDescent="0.2">
      <c r="A411" s="9">
        <v>400</v>
      </c>
      <c r="B411" s="10"/>
      <c r="C411" s="61"/>
      <c r="D411" s="1" t="str">
        <f t="shared" si="37"/>
        <v xml:space="preserve">, </v>
      </c>
      <c r="E411" s="1">
        <f t="shared" si="38"/>
        <v>400</v>
      </c>
      <c r="F411" s="17"/>
      <c r="G411" s="18"/>
      <c r="H411" s="18"/>
      <c r="I411" s="85">
        <f t="shared" si="35"/>
        <v>0</v>
      </c>
      <c r="J411" s="23">
        <f t="shared" si="36"/>
        <v>0</v>
      </c>
      <c r="K411" s="26"/>
      <c r="L411" s="27">
        <f t="shared" si="34"/>
        <v>0</v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1:23" ht="20.100000000000001" customHeight="1" x14ac:dyDescent="0.2">
      <c r="A412" s="7">
        <v>401</v>
      </c>
      <c r="B412" s="8"/>
      <c r="C412" s="62"/>
      <c r="D412" s="1" t="str">
        <f t="shared" si="37"/>
        <v xml:space="preserve">, </v>
      </c>
      <c r="E412" s="1">
        <f t="shared" si="38"/>
        <v>401</v>
      </c>
      <c r="F412" s="15"/>
      <c r="G412" s="16"/>
      <c r="H412" s="16"/>
      <c r="I412" s="85">
        <f t="shared" si="35"/>
        <v>0</v>
      </c>
      <c r="J412" s="23">
        <f t="shared" si="36"/>
        <v>0</v>
      </c>
      <c r="K412" s="24"/>
      <c r="L412" s="25">
        <f t="shared" si="34"/>
        <v>0</v>
      </c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1:23" ht="20.100000000000001" customHeight="1" x14ac:dyDescent="0.2">
      <c r="A413" s="9">
        <v>402</v>
      </c>
      <c r="B413" s="10"/>
      <c r="C413" s="61"/>
      <c r="D413" s="1" t="str">
        <f t="shared" si="37"/>
        <v xml:space="preserve">, </v>
      </c>
      <c r="E413" s="1">
        <f t="shared" si="38"/>
        <v>402</v>
      </c>
      <c r="F413" s="17"/>
      <c r="G413" s="18"/>
      <c r="H413" s="18"/>
      <c r="I413" s="85">
        <f t="shared" si="35"/>
        <v>0</v>
      </c>
      <c r="J413" s="23">
        <f t="shared" si="36"/>
        <v>0</v>
      </c>
      <c r="K413" s="26"/>
      <c r="L413" s="27">
        <f t="shared" si="34"/>
        <v>0</v>
      </c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1:23" ht="20.100000000000001" customHeight="1" x14ac:dyDescent="0.2">
      <c r="A414" s="11">
        <v>403</v>
      </c>
      <c r="B414" s="12"/>
      <c r="C414" s="62"/>
      <c r="D414" s="1" t="str">
        <f t="shared" si="37"/>
        <v xml:space="preserve">, </v>
      </c>
      <c r="E414" s="1">
        <f t="shared" si="38"/>
        <v>403</v>
      </c>
      <c r="F414" s="19"/>
      <c r="G414" s="20"/>
      <c r="H414" s="20"/>
      <c r="I414" s="85">
        <f t="shared" si="35"/>
        <v>0</v>
      </c>
      <c r="J414" s="23">
        <f t="shared" si="36"/>
        <v>0</v>
      </c>
      <c r="K414" s="28"/>
      <c r="L414" s="27">
        <f t="shared" si="34"/>
        <v>0</v>
      </c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1:23" ht="20.100000000000001" customHeight="1" x14ac:dyDescent="0.2">
      <c r="A415" s="9">
        <v>404</v>
      </c>
      <c r="B415" s="10"/>
      <c r="C415" s="61"/>
      <c r="D415" s="1" t="str">
        <f t="shared" si="37"/>
        <v xml:space="preserve">, </v>
      </c>
      <c r="E415" s="1">
        <f t="shared" si="38"/>
        <v>404</v>
      </c>
      <c r="F415" s="17"/>
      <c r="G415" s="18"/>
      <c r="H415" s="18"/>
      <c r="I415" s="85">
        <f t="shared" si="35"/>
        <v>0</v>
      </c>
      <c r="J415" s="23">
        <f t="shared" si="36"/>
        <v>0</v>
      </c>
      <c r="K415" s="26"/>
      <c r="L415" s="27">
        <f t="shared" si="34"/>
        <v>0</v>
      </c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1:23" ht="20.100000000000001" customHeight="1" x14ac:dyDescent="0.2">
      <c r="A416" s="7">
        <v>405</v>
      </c>
      <c r="B416" s="8"/>
      <c r="C416" s="62"/>
      <c r="D416" s="1" t="str">
        <f t="shared" si="37"/>
        <v xml:space="preserve">, </v>
      </c>
      <c r="E416" s="1">
        <f t="shared" si="38"/>
        <v>405</v>
      </c>
      <c r="F416" s="15"/>
      <c r="G416" s="16"/>
      <c r="H416" s="16"/>
      <c r="I416" s="85">
        <f t="shared" si="35"/>
        <v>0</v>
      </c>
      <c r="J416" s="23">
        <f t="shared" si="36"/>
        <v>0</v>
      </c>
      <c r="K416" s="24"/>
      <c r="L416" s="25">
        <f t="shared" si="34"/>
        <v>0</v>
      </c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1:23" ht="20.100000000000001" customHeight="1" x14ac:dyDescent="0.2">
      <c r="A417" s="9">
        <v>406</v>
      </c>
      <c r="B417" s="10"/>
      <c r="C417" s="61"/>
      <c r="D417" s="1" t="str">
        <f t="shared" si="37"/>
        <v xml:space="preserve">, </v>
      </c>
      <c r="E417" s="1">
        <f t="shared" si="38"/>
        <v>406</v>
      </c>
      <c r="F417" s="17"/>
      <c r="G417" s="18"/>
      <c r="H417" s="18"/>
      <c r="I417" s="85">
        <f t="shared" si="35"/>
        <v>0</v>
      </c>
      <c r="J417" s="23">
        <f t="shared" si="36"/>
        <v>0</v>
      </c>
      <c r="K417" s="26"/>
      <c r="L417" s="27">
        <f t="shared" si="34"/>
        <v>0</v>
      </c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1:23" ht="20.100000000000001" customHeight="1" x14ac:dyDescent="0.2">
      <c r="A418" s="11">
        <v>407</v>
      </c>
      <c r="B418" s="12"/>
      <c r="C418" s="62"/>
      <c r="D418" s="1" t="str">
        <f t="shared" si="37"/>
        <v xml:space="preserve">, </v>
      </c>
      <c r="E418" s="1">
        <f t="shared" si="38"/>
        <v>407</v>
      </c>
      <c r="F418" s="19"/>
      <c r="G418" s="20"/>
      <c r="H418" s="20"/>
      <c r="I418" s="85">
        <f t="shared" si="35"/>
        <v>0</v>
      </c>
      <c r="J418" s="23">
        <f t="shared" si="36"/>
        <v>0</v>
      </c>
      <c r="K418" s="28"/>
      <c r="L418" s="27">
        <f t="shared" si="34"/>
        <v>0</v>
      </c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1:23" ht="20.100000000000001" customHeight="1" x14ac:dyDescent="0.2">
      <c r="A419" s="9">
        <v>408</v>
      </c>
      <c r="B419" s="10"/>
      <c r="C419" s="61"/>
      <c r="D419" s="1" t="str">
        <f t="shared" si="37"/>
        <v xml:space="preserve">, </v>
      </c>
      <c r="E419" s="1">
        <f t="shared" si="38"/>
        <v>408</v>
      </c>
      <c r="F419" s="17"/>
      <c r="G419" s="18"/>
      <c r="H419" s="18"/>
      <c r="I419" s="85">
        <f t="shared" si="35"/>
        <v>0</v>
      </c>
      <c r="J419" s="23">
        <f t="shared" si="36"/>
        <v>0</v>
      </c>
      <c r="K419" s="26"/>
      <c r="L419" s="27">
        <f t="shared" si="34"/>
        <v>0</v>
      </c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1:23" ht="20.100000000000001" customHeight="1" x14ac:dyDescent="0.2">
      <c r="A420" s="7">
        <v>409</v>
      </c>
      <c r="B420" s="8"/>
      <c r="C420" s="62"/>
      <c r="D420" s="1" t="str">
        <f t="shared" si="37"/>
        <v xml:space="preserve">, </v>
      </c>
      <c r="E420" s="1">
        <f t="shared" si="38"/>
        <v>409</v>
      </c>
      <c r="F420" s="15"/>
      <c r="G420" s="16"/>
      <c r="H420" s="16"/>
      <c r="I420" s="85">
        <f t="shared" si="35"/>
        <v>0</v>
      </c>
      <c r="J420" s="23">
        <f t="shared" si="36"/>
        <v>0</v>
      </c>
      <c r="K420" s="24"/>
      <c r="L420" s="25">
        <f t="shared" si="34"/>
        <v>0</v>
      </c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1:23" ht="20.100000000000001" customHeight="1" x14ac:dyDescent="0.2">
      <c r="A421" s="9">
        <v>410</v>
      </c>
      <c r="B421" s="10"/>
      <c r="C421" s="61"/>
      <c r="D421" s="1" t="str">
        <f t="shared" si="37"/>
        <v xml:space="preserve">, </v>
      </c>
      <c r="E421" s="1">
        <f t="shared" si="38"/>
        <v>410</v>
      </c>
      <c r="F421" s="17"/>
      <c r="G421" s="18"/>
      <c r="H421" s="18"/>
      <c r="I421" s="85">
        <f t="shared" si="35"/>
        <v>0</v>
      </c>
      <c r="J421" s="23">
        <f t="shared" si="36"/>
        <v>0</v>
      </c>
      <c r="K421" s="26"/>
      <c r="L421" s="27">
        <f t="shared" si="34"/>
        <v>0</v>
      </c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1:23" ht="20.100000000000001" customHeight="1" x14ac:dyDescent="0.2">
      <c r="A422" s="11">
        <v>411</v>
      </c>
      <c r="B422" s="12"/>
      <c r="C422" s="62"/>
      <c r="D422" s="1" t="str">
        <f t="shared" si="37"/>
        <v xml:space="preserve">, </v>
      </c>
      <c r="E422" s="1">
        <f t="shared" si="38"/>
        <v>411</v>
      </c>
      <c r="F422" s="19"/>
      <c r="G422" s="20"/>
      <c r="H422" s="20"/>
      <c r="I422" s="85">
        <f t="shared" si="35"/>
        <v>0</v>
      </c>
      <c r="J422" s="23">
        <f t="shared" si="36"/>
        <v>0</v>
      </c>
      <c r="K422" s="28"/>
      <c r="L422" s="27">
        <f t="shared" si="34"/>
        <v>0</v>
      </c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1:23" ht="20.100000000000001" customHeight="1" x14ac:dyDescent="0.2">
      <c r="A423" s="9">
        <v>412</v>
      </c>
      <c r="B423" s="10"/>
      <c r="C423" s="61"/>
      <c r="D423" s="1" t="str">
        <f t="shared" si="37"/>
        <v xml:space="preserve">, </v>
      </c>
      <c r="E423" s="1">
        <f t="shared" si="38"/>
        <v>412</v>
      </c>
      <c r="F423" s="17"/>
      <c r="G423" s="18"/>
      <c r="H423" s="18"/>
      <c r="I423" s="85">
        <f t="shared" si="35"/>
        <v>0</v>
      </c>
      <c r="J423" s="23">
        <f t="shared" si="36"/>
        <v>0</v>
      </c>
      <c r="K423" s="26"/>
      <c r="L423" s="27">
        <f t="shared" si="34"/>
        <v>0</v>
      </c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1:23" ht="20.100000000000001" customHeight="1" x14ac:dyDescent="0.2">
      <c r="A424" s="7">
        <v>413</v>
      </c>
      <c r="B424" s="8"/>
      <c r="C424" s="62"/>
      <c r="D424" s="1" t="str">
        <f t="shared" si="37"/>
        <v xml:space="preserve">, </v>
      </c>
      <c r="E424" s="1">
        <f t="shared" si="38"/>
        <v>413</v>
      </c>
      <c r="F424" s="15"/>
      <c r="G424" s="16"/>
      <c r="H424" s="16"/>
      <c r="I424" s="85">
        <f t="shared" si="35"/>
        <v>0</v>
      </c>
      <c r="J424" s="23">
        <f t="shared" si="36"/>
        <v>0</v>
      </c>
      <c r="K424" s="24"/>
      <c r="L424" s="25">
        <f t="shared" si="34"/>
        <v>0</v>
      </c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1:23" ht="20.100000000000001" customHeight="1" x14ac:dyDescent="0.2">
      <c r="A425" s="9">
        <v>414</v>
      </c>
      <c r="B425" s="10"/>
      <c r="C425" s="61"/>
      <c r="D425" s="1" t="str">
        <f t="shared" si="37"/>
        <v xml:space="preserve">, </v>
      </c>
      <c r="E425" s="1">
        <f t="shared" si="38"/>
        <v>414</v>
      </c>
      <c r="F425" s="17"/>
      <c r="G425" s="18"/>
      <c r="H425" s="18"/>
      <c r="I425" s="85">
        <f t="shared" si="35"/>
        <v>0</v>
      </c>
      <c r="J425" s="23">
        <f t="shared" si="36"/>
        <v>0</v>
      </c>
      <c r="K425" s="26"/>
      <c r="L425" s="27">
        <f t="shared" si="34"/>
        <v>0</v>
      </c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1:23" ht="20.100000000000001" customHeight="1" x14ac:dyDescent="0.2">
      <c r="A426" s="11">
        <v>415</v>
      </c>
      <c r="B426" s="12"/>
      <c r="C426" s="62"/>
      <c r="D426" s="1" t="str">
        <f t="shared" si="37"/>
        <v xml:space="preserve">, </v>
      </c>
      <c r="E426" s="1">
        <f t="shared" si="38"/>
        <v>415</v>
      </c>
      <c r="F426" s="19"/>
      <c r="G426" s="20"/>
      <c r="H426" s="20"/>
      <c r="I426" s="85">
        <f t="shared" si="35"/>
        <v>0</v>
      </c>
      <c r="J426" s="23">
        <f t="shared" si="36"/>
        <v>0</v>
      </c>
      <c r="K426" s="28"/>
      <c r="L426" s="27">
        <f t="shared" si="34"/>
        <v>0</v>
      </c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1:23" ht="20.100000000000001" customHeight="1" x14ac:dyDescent="0.2">
      <c r="A427" s="9">
        <v>416</v>
      </c>
      <c r="B427" s="10"/>
      <c r="C427" s="61"/>
      <c r="D427" s="1" t="str">
        <f t="shared" si="37"/>
        <v xml:space="preserve">, </v>
      </c>
      <c r="E427" s="1">
        <f t="shared" si="38"/>
        <v>416</v>
      </c>
      <c r="F427" s="17"/>
      <c r="G427" s="18"/>
      <c r="H427" s="18"/>
      <c r="I427" s="85">
        <f t="shared" si="35"/>
        <v>0</v>
      </c>
      <c r="J427" s="23">
        <f t="shared" si="36"/>
        <v>0</v>
      </c>
      <c r="K427" s="26"/>
      <c r="L427" s="27">
        <f t="shared" si="34"/>
        <v>0</v>
      </c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1:23" ht="20.100000000000001" customHeight="1" x14ac:dyDescent="0.2">
      <c r="A428" s="7">
        <v>417</v>
      </c>
      <c r="B428" s="8"/>
      <c r="C428" s="62"/>
      <c r="D428" s="1" t="str">
        <f t="shared" si="37"/>
        <v xml:space="preserve">, </v>
      </c>
      <c r="E428" s="1">
        <f t="shared" si="38"/>
        <v>417</v>
      </c>
      <c r="F428" s="15"/>
      <c r="G428" s="16"/>
      <c r="H428" s="16"/>
      <c r="I428" s="85">
        <f t="shared" si="35"/>
        <v>0</v>
      </c>
      <c r="J428" s="23">
        <f t="shared" si="36"/>
        <v>0</v>
      </c>
      <c r="K428" s="24"/>
      <c r="L428" s="25">
        <f t="shared" si="34"/>
        <v>0</v>
      </c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1:23" ht="20.100000000000001" customHeight="1" x14ac:dyDescent="0.2">
      <c r="A429" s="9">
        <v>418</v>
      </c>
      <c r="B429" s="10"/>
      <c r="C429" s="61"/>
      <c r="D429" s="1" t="str">
        <f t="shared" si="37"/>
        <v xml:space="preserve">, </v>
      </c>
      <c r="E429" s="1">
        <f t="shared" si="38"/>
        <v>418</v>
      </c>
      <c r="F429" s="17"/>
      <c r="G429" s="18"/>
      <c r="H429" s="18"/>
      <c r="I429" s="85">
        <f t="shared" si="35"/>
        <v>0</v>
      </c>
      <c r="J429" s="23">
        <f t="shared" si="36"/>
        <v>0</v>
      </c>
      <c r="K429" s="26"/>
      <c r="L429" s="27">
        <f t="shared" si="34"/>
        <v>0</v>
      </c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1:23" ht="20.100000000000001" customHeight="1" x14ac:dyDescent="0.2">
      <c r="A430" s="11">
        <v>419</v>
      </c>
      <c r="B430" s="12"/>
      <c r="C430" s="62"/>
      <c r="D430" s="1" t="str">
        <f t="shared" si="37"/>
        <v xml:space="preserve">, </v>
      </c>
      <c r="E430" s="1">
        <f t="shared" si="38"/>
        <v>419</v>
      </c>
      <c r="F430" s="19"/>
      <c r="G430" s="20"/>
      <c r="H430" s="20"/>
      <c r="I430" s="85">
        <f t="shared" si="35"/>
        <v>0</v>
      </c>
      <c r="J430" s="23">
        <f t="shared" si="36"/>
        <v>0</v>
      </c>
      <c r="K430" s="28"/>
      <c r="L430" s="27">
        <f t="shared" si="34"/>
        <v>0</v>
      </c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1:23" ht="20.100000000000001" customHeight="1" x14ac:dyDescent="0.2">
      <c r="A431" s="9">
        <v>420</v>
      </c>
      <c r="B431" s="10"/>
      <c r="C431" s="61"/>
      <c r="D431" s="1" t="str">
        <f t="shared" si="37"/>
        <v xml:space="preserve">, </v>
      </c>
      <c r="E431" s="1">
        <f t="shared" si="38"/>
        <v>420</v>
      </c>
      <c r="F431" s="17"/>
      <c r="G431" s="18"/>
      <c r="H431" s="18"/>
      <c r="I431" s="85">
        <f t="shared" si="35"/>
        <v>0</v>
      </c>
      <c r="J431" s="23">
        <f t="shared" si="36"/>
        <v>0</v>
      </c>
      <c r="K431" s="26"/>
      <c r="L431" s="27">
        <f t="shared" si="34"/>
        <v>0</v>
      </c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1:23" ht="20.100000000000001" customHeight="1" x14ac:dyDescent="0.2">
      <c r="A432" s="7">
        <v>421</v>
      </c>
      <c r="B432" s="8"/>
      <c r="C432" s="62"/>
      <c r="D432" s="1" t="str">
        <f t="shared" si="37"/>
        <v xml:space="preserve">, </v>
      </c>
      <c r="E432" s="1">
        <f t="shared" si="38"/>
        <v>421</v>
      </c>
      <c r="F432" s="15"/>
      <c r="G432" s="16"/>
      <c r="H432" s="16"/>
      <c r="I432" s="85">
        <f t="shared" si="35"/>
        <v>0</v>
      </c>
      <c r="J432" s="23">
        <f t="shared" si="36"/>
        <v>0</v>
      </c>
      <c r="K432" s="24"/>
      <c r="L432" s="25">
        <f t="shared" si="34"/>
        <v>0</v>
      </c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1:23" ht="20.100000000000001" customHeight="1" x14ac:dyDescent="0.2">
      <c r="A433" s="9">
        <v>422</v>
      </c>
      <c r="B433" s="10"/>
      <c r="C433" s="61"/>
      <c r="D433" s="1" t="str">
        <f t="shared" si="37"/>
        <v xml:space="preserve">, </v>
      </c>
      <c r="E433" s="1">
        <f t="shared" si="38"/>
        <v>422</v>
      </c>
      <c r="F433" s="17"/>
      <c r="G433" s="18"/>
      <c r="H433" s="18"/>
      <c r="I433" s="85">
        <f t="shared" si="35"/>
        <v>0</v>
      </c>
      <c r="J433" s="23">
        <f t="shared" si="36"/>
        <v>0</v>
      </c>
      <c r="K433" s="26"/>
      <c r="L433" s="27">
        <f t="shared" si="34"/>
        <v>0</v>
      </c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1:23" ht="20.100000000000001" customHeight="1" x14ac:dyDescent="0.2">
      <c r="A434" s="11">
        <v>423</v>
      </c>
      <c r="B434" s="12"/>
      <c r="C434" s="62"/>
      <c r="D434" s="1" t="str">
        <f t="shared" si="37"/>
        <v xml:space="preserve">, </v>
      </c>
      <c r="E434" s="1">
        <f t="shared" si="38"/>
        <v>423</v>
      </c>
      <c r="F434" s="19"/>
      <c r="G434" s="20"/>
      <c r="H434" s="20"/>
      <c r="I434" s="85">
        <f t="shared" si="35"/>
        <v>0</v>
      </c>
      <c r="J434" s="23">
        <f t="shared" si="36"/>
        <v>0</v>
      </c>
      <c r="K434" s="28"/>
      <c r="L434" s="27">
        <f t="shared" si="34"/>
        <v>0</v>
      </c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1:23" ht="20.100000000000001" customHeight="1" x14ac:dyDescent="0.2">
      <c r="A435" s="9">
        <v>424</v>
      </c>
      <c r="B435" s="10"/>
      <c r="C435" s="61"/>
      <c r="D435" s="1" t="str">
        <f t="shared" si="37"/>
        <v xml:space="preserve">, </v>
      </c>
      <c r="E435" s="1">
        <f t="shared" si="38"/>
        <v>424</v>
      </c>
      <c r="F435" s="17"/>
      <c r="G435" s="18"/>
      <c r="H435" s="18"/>
      <c r="I435" s="85">
        <f t="shared" si="35"/>
        <v>0</v>
      </c>
      <c r="J435" s="23">
        <f t="shared" si="36"/>
        <v>0</v>
      </c>
      <c r="K435" s="26"/>
      <c r="L435" s="27">
        <f t="shared" si="34"/>
        <v>0</v>
      </c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1:23" ht="20.100000000000001" customHeight="1" x14ac:dyDescent="0.2">
      <c r="A436" s="7">
        <v>425</v>
      </c>
      <c r="B436" s="8"/>
      <c r="C436" s="62"/>
      <c r="D436" s="1" t="str">
        <f t="shared" si="37"/>
        <v xml:space="preserve">, </v>
      </c>
      <c r="E436" s="1">
        <f t="shared" si="38"/>
        <v>425</v>
      </c>
      <c r="F436" s="15"/>
      <c r="G436" s="16"/>
      <c r="H436" s="16"/>
      <c r="I436" s="85">
        <f t="shared" si="35"/>
        <v>0</v>
      </c>
      <c r="J436" s="23">
        <f t="shared" si="36"/>
        <v>0</v>
      </c>
      <c r="K436" s="24"/>
      <c r="L436" s="25">
        <f t="shared" si="34"/>
        <v>0</v>
      </c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1:23" ht="20.100000000000001" customHeight="1" x14ac:dyDescent="0.2">
      <c r="A437" s="9">
        <v>426</v>
      </c>
      <c r="B437" s="10"/>
      <c r="C437" s="61"/>
      <c r="D437" s="1" t="str">
        <f t="shared" si="37"/>
        <v xml:space="preserve">, </v>
      </c>
      <c r="E437" s="1">
        <f t="shared" si="38"/>
        <v>426</v>
      </c>
      <c r="F437" s="17"/>
      <c r="G437" s="18"/>
      <c r="H437" s="18"/>
      <c r="I437" s="85">
        <f t="shared" si="35"/>
        <v>0</v>
      </c>
      <c r="J437" s="23">
        <f t="shared" si="36"/>
        <v>0</v>
      </c>
      <c r="K437" s="26"/>
      <c r="L437" s="27">
        <f t="shared" si="34"/>
        <v>0</v>
      </c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1:23" ht="20.100000000000001" customHeight="1" x14ac:dyDescent="0.2">
      <c r="A438" s="11">
        <v>427</v>
      </c>
      <c r="B438" s="12"/>
      <c r="C438" s="62"/>
      <c r="D438" s="1" t="str">
        <f t="shared" si="37"/>
        <v xml:space="preserve">, </v>
      </c>
      <c r="E438" s="1">
        <f t="shared" si="38"/>
        <v>427</v>
      </c>
      <c r="F438" s="19"/>
      <c r="G438" s="20"/>
      <c r="H438" s="20"/>
      <c r="I438" s="85">
        <f t="shared" si="35"/>
        <v>0</v>
      </c>
      <c r="J438" s="23">
        <f t="shared" si="36"/>
        <v>0</v>
      </c>
      <c r="K438" s="28"/>
      <c r="L438" s="27">
        <f t="shared" si="34"/>
        <v>0</v>
      </c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1:23" ht="20.100000000000001" customHeight="1" x14ac:dyDescent="0.2">
      <c r="A439" s="9">
        <v>428</v>
      </c>
      <c r="B439" s="10"/>
      <c r="C439" s="61"/>
      <c r="D439" s="1" t="str">
        <f t="shared" si="37"/>
        <v xml:space="preserve">, </v>
      </c>
      <c r="E439" s="1">
        <f t="shared" si="38"/>
        <v>428</v>
      </c>
      <c r="F439" s="17"/>
      <c r="G439" s="18"/>
      <c r="H439" s="18"/>
      <c r="I439" s="85">
        <f t="shared" si="35"/>
        <v>0</v>
      </c>
      <c r="J439" s="23">
        <f t="shared" si="36"/>
        <v>0</v>
      </c>
      <c r="K439" s="26"/>
      <c r="L439" s="27">
        <f t="shared" si="34"/>
        <v>0</v>
      </c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1:23" ht="20.100000000000001" customHeight="1" x14ac:dyDescent="0.2">
      <c r="A440" s="7">
        <v>429</v>
      </c>
      <c r="B440" s="8"/>
      <c r="C440" s="62"/>
      <c r="D440" s="1" t="str">
        <f t="shared" si="37"/>
        <v xml:space="preserve">, </v>
      </c>
      <c r="E440" s="1">
        <f t="shared" si="38"/>
        <v>429</v>
      </c>
      <c r="F440" s="15"/>
      <c r="G440" s="16"/>
      <c r="H440" s="16"/>
      <c r="I440" s="85">
        <f t="shared" si="35"/>
        <v>0</v>
      </c>
      <c r="J440" s="23">
        <f t="shared" si="36"/>
        <v>0</v>
      </c>
      <c r="K440" s="24"/>
      <c r="L440" s="25">
        <f t="shared" si="34"/>
        <v>0</v>
      </c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1:23" ht="20.100000000000001" customHeight="1" x14ac:dyDescent="0.2">
      <c r="A441" s="9">
        <v>430</v>
      </c>
      <c r="B441" s="10"/>
      <c r="C441" s="61"/>
      <c r="D441" s="1" t="str">
        <f t="shared" si="37"/>
        <v xml:space="preserve">, </v>
      </c>
      <c r="E441" s="1">
        <f t="shared" si="38"/>
        <v>430</v>
      </c>
      <c r="F441" s="17"/>
      <c r="G441" s="18"/>
      <c r="H441" s="18"/>
      <c r="I441" s="85">
        <f t="shared" si="35"/>
        <v>0</v>
      </c>
      <c r="J441" s="23">
        <f t="shared" si="36"/>
        <v>0</v>
      </c>
      <c r="K441" s="26"/>
      <c r="L441" s="27">
        <f t="shared" si="34"/>
        <v>0</v>
      </c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1:23" ht="20.100000000000001" customHeight="1" x14ac:dyDescent="0.2">
      <c r="A442" s="11">
        <v>431</v>
      </c>
      <c r="B442" s="12"/>
      <c r="C442" s="62"/>
      <c r="D442" s="1" t="str">
        <f t="shared" si="37"/>
        <v xml:space="preserve">, </v>
      </c>
      <c r="E442" s="1">
        <f t="shared" si="38"/>
        <v>431</v>
      </c>
      <c r="F442" s="19"/>
      <c r="G442" s="20"/>
      <c r="H442" s="20"/>
      <c r="I442" s="85">
        <f t="shared" si="35"/>
        <v>0</v>
      </c>
      <c r="J442" s="23">
        <f t="shared" si="36"/>
        <v>0</v>
      </c>
      <c r="K442" s="28"/>
      <c r="L442" s="27">
        <f t="shared" si="34"/>
        <v>0</v>
      </c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1:23" ht="20.100000000000001" customHeight="1" x14ac:dyDescent="0.2">
      <c r="A443" s="9">
        <v>432</v>
      </c>
      <c r="B443" s="10"/>
      <c r="C443" s="61"/>
      <c r="D443" s="1" t="str">
        <f t="shared" si="37"/>
        <v xml:space="preserve">, </v>
      </c>
      <c r="E443" s="1">
        <f t="shared" si="38"/>
        <v>432</v>
      </c>
      <c r="F443" s="17"/>
      <c r="G443" s="18"/>
      <c r="H443" s="18"/>
      <c r="I443" s="85">
        <f t="shared" si="35"/>
        <v>0</v>
      </c>
      <c r="J443" s="23">
        <f t="shared" si="36"/>
        <v>0</v>
      </c>
      <c r="K443" s="26"/>
      <c r="L443" s="27">
        <f t="shared" si="34"/>
        <v>0</v>
      </c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1:23" ht="20.100000000000001" customHeight="1" x14ac:dyDescent="0.2">
      <c r="A444" s="7">
        <v>433</v>
      </c>
      <c r="B444" s="8"/>
      <c r="C444" s="62"/>
      <c r="D444" s="1" t="str">
        <f t="shared" si="37"/>
        <v xml:space="preserve">, </v>
      </c>
      <c r="E444" s="1">
        <f t="shared" si="38"/>
        <v>433</v>
      </c>
      <c r="F444" s="15"/>
      <c r="G444" s="16"/>
      <c r="H444" s="16"/>
      <c r="I444" s="85">
        <f t="shared" si="35"/>
        <v>0</v>
      </c>
      <c r="J444" s="23">
        <f t="shared" si="36"/>
        <v>0</v>
      </c>
      <c r="K444" s="24"/>
      <c r="L444" s="25">
        <f t="shared" si="34"/>
        <v>0</v>
      </c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1:23" ht="20.100000000000001" customHeight="1" x14ac:dyDescent="0.2">
      <c r="A445" s="9">
        <v>434</v>
      </c>
      <c r="B445" s="10"/>
      <c r="C445" s="61"/>
      <c r="D445" s="1" t="str">
        <f t="shared" si="37"/>
        <v xml:space="preserve">, </v>
      </c>
      <c r="E445" s="1">
        <f t="shared" si="38"/>
        <v>434</v>
      </c>
      <c r="F445" s="17"/>
      <c r="G445" s="18"/>
      <c r="H445" s="18"/>
      <c r="I445" s="85">
        <f t="shared" si="35"/>
        <v>0</v>
      </c>
      <c r="J445" s="23">
        <f t="shared" si="36"/>
        <v>0</v>
      </c>
      <c r="K445" s="26"/>
      <c r="L445" s="27">
        <f t="shared" si="34"/>
        <v>0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1:23" ht="20.100000000000001" customHeight="1" x14ac:dyDescent="0.2">
      <c r="A446" s="11">
        <v>435</v>
      </c>
      <c r="B446" s="12"/>
      <c r="C446" s="62"/>
      <c r="D446" s="1" t="str">
        <f t="shared" si="37"/>
        <v xml:space="preserve">, </v>
      </c>
      <c r="E446" s="1">
        <f t="shared" si="38"/>
        <v>435</v>
      </c>
      <c r="F446" s="19"/>
      <c r="G446" s="20"/>
      <c r="H446" s="20"/>
      <c r="I446" s="85">
        <f t="shared" si="35"/>
        <v>0</v>
      </c>
      <c r="J446" s="23">
        <f t="shared" si="36"/>
        <v>0</v>
      </c>
      <c r="K446" s="28"/>
      <c r="L446" s="27">
        <f t="shared" si="34"/>
        <v>0</v>
      </c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1:23" ht="20.100000000000001" customHeight="1" x14ac:dyDescent="0.2">
      <c r="A447" s="9">
        <v>436</v>
      </c>
      <c r="B447" s="10"/>
      <c r="C447" s="61"/>
      <c r="D447" s="1" t="str">
        <f t="shared" si="37"/>
        <v xml:space="preserve">, </v>
      </c>
      <c r="E447" s="1">
        <f t="shared" si="38"/>
        <v>436</v>
      </c>
      <c r="F447" s="17"/>
      <c r="G447" s="18"/>
      <c r="H447" s="18"/>
      <c r="I447" s="85">
        <f t="shared" si="35"/>
        <v>0</v>
      </c>
      <c r="J447" s="23">
        <f t="shared" si="36"/>
        <v>0</v>
      </c>
      <c r="K447" s="26"/>
      <c r="L447" s="27">
        <f t="shared" si="34"/>
        <v>0</v>
      </c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1:23" ht="20.100000000000001" customHeight="1" x14ac:dyDescent="0.2">
      <c r="A448" s="7">
        <v>437</v>
      </c>
      <c r="B448" s="8"/>
      <c r="C448" s="62"/>
      <c r="D448" s="1" t="str">
        <f t="shared" si="37"/>
        <v xml:space="preserve">, </v>
      </c>
      <c r="E448" s="1">
        <f t="shared" si="38"/>
        <v>437</v>
      </c>
      <c r="F448" s="15"/>
      <c r="G448" s="16"/>
      <c r="H448" s="16"/>
      <c r="I448" s="85">
        <f t="shared" si="35"/>
        <v>0</v>
      </c>
      <c r="J448" s="23">
        <f t="shared" si="36"/>
        <v>0</v>
      </c>
      <c r="K448" s="24"/>
      <c r="L448" s="25">
        <f t="shared" si="34"/>
        <v>0</v>
      </c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1:23" ht="20.100000000000001" customHeight="1" x14ac:dyDescent="0.2">
      <c r="A449" s="9">
        <v>438</v>
      </c>
      <c r="B449" s="10"/>
      <c r="C449" s="61"/>
      <c r="D449" s="1" t="str">
        <f t="shared" si="37"/>
        <v xml:space="preserve">, </v>
      </c>
      <c r="E449" s="1">
        <f t="shared" si="38"/>
        <v>438</v>
      </c>
      <c r="F449" s="17"/>
      <c r="G449" s="18"/>
      <c r="H449" s="18"/>
      <c r="I449" s="85">
        <f t="shared" si="35"/>
        <v>0</v>
      </c>
      <c r="J449" s="23">
        <f t="shared" si="36"/>
        <v>0</v>
      </c>
      <c r="K449" s="26"/>
      <c r="L449" s="27">
        <f t="shared" si="34"/>
        <v>0</v>
      </c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1:23" ht="20.100000000000001" customHeight="1" x14ac:dyDescent="0.2">
      <c r="A450" s="11">
        <v>439</v>
      </c>
      <c r="B450" s="12"/>
      <c r="C450" s="62"/>
      <c r="D450" s="1" t="str">
        <f t="shared" si="37"/>
        <v xml:space="preserve">, </v>
      </c>
      <c r="E450" s="1">
        <f t="shared" si="38"/>
        <v>439</v>
      </c>
      <c r="F450" s="19"/>
      <c r="G450" s="20"/>
      <c r="H450" s="20"/>
      <c r="I450" s="85">
        <f t="shared" si="35"/>
        <v>0</v>
      </c>
      <c r="J450" s="23">
        <f t="shared" si="36"/>
        <v>0</v>
      </c>
      <c r="K450" s="28"/>
      <c r="L450" s="27">
        <f t="shared" si="34"/>
        <v>0</v>
      </c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1:23" ht="20.100000000000001" customHeight="1" x14ac:dyDescent="0.2">
      <c r="A451" s="9">
        <v>440</v>
      </c>
      <c r="B451" s="10"/>
      <c r="C451" s="61"/>
      <c r="D451" s="1" t="str">
        <f t="shared" si="37"/>
        <v xml:space="preserve">, </v>
      </c>
      <c r="E451" s="1">
        <f t="shared" si="38"/>
        <v>440</v>
      </c>
      <c r="F451" s="17"/>
      <c r="G451" s="18"/>
      <c r="H451" s="18"/>
      <c r="I451" s="85">
        <f t="shared" si="35"/>
        <v>0</v>
      </c>
      <c r="J451" s="23">
        <f t="shared" si="36"/>
        <v>0</v>
      </c>
      <c r="K451" s="26"/>
      <c r="L451" s="27">
        <f t="shared" si="34"/>
        <v>0</v>
      </c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1:23" ht="20.100000000000001" customHeight="1" x14ac:dyDescent="0.2">
      <c r="A452" s="7">
        <v>441</v>
      </c>
      <c r="B452" s="8"/>
      <c r="C452" s="62"/>
      <c r="D452" s="1" t="str">
        <f t="shared" si="37"/>
        <v xml:space="preserve">, </v>
      </c>
      <c r="E452" s="1">
        <f t="shared" si="38"/>
        <v>441</v>
      </c>
      <c r="F452" s="15"/>
      <c r="G452" s="16"/>
      <c r="H452" s="16"/>
      <c r="I452" s="85">
        <f t="shared" si="35"/>
        <v>0</v>
      </c>
      <c r="J452" s="23">
        <f t="shared" si="36"/>
        <v>0</v>
      </c>
      <c r="K452" s="24"/>
      <c r="L452" s="25">
        <f t="shared" ref="L452:L507" si="39">J452-K452</f>
        <v>0</v>
      </c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1:23" ht="20.100000000000001" customHeight="1" x14ac:dyDescent="0.2">
      <c r="A453" s="9">
        <v>442</v>
      </c>
      <c r="B453" s="10"/>
      <c r="C453" s="61"/>
      <c r="D453" s="1" t="str">
        <f t="shared" si="37"/>
        <v xml:space="preserve">, </v>
      </c>
      <c r="E453" s="1">
        <f t="shared" si="38"/>
        <v>442</v>
      </c>
      <c r="F453" s="17"/>
      <c r="G453" s="18"/>
      <c r="H453" s="18"/>
      <c r="I453" s="85">
        <f t="shared" si="35"/>
        <v>0</v>
      </c>
      <c r="J453" s="23">
        <f t="shared" si="36"/>
        <v>0</v>
      </c>
      <c r="K453" s="26"/>
      <c r="L453" s="27">
        <f t="shared" si="39"/>
        <v>0</v>
      </c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1:23" ht="20.100000000000001" customHeight="1" x14ac:dyDescent="0.2">
      <c r="A454" s="11">
        <v>443</v>
      </c>
      <c r="B454" s="12"/>
      <c r="C454" s="62"/>
      <c r="D454" s="1" t="str">
        <f t="shared" si="37"/>
        <v xml:space="preserve">, </v>
      </c>
      <c r="E454" s="1">
        <f t="shared" si="38"/>
        <v>443</v>
      </c>
      <c r="F454" s="19"/>
      <c r="G454" s="20"/>
      <c r="H454" s="20"/>
      <c r="I454" s="85">
        <f t="shared" si="35"/>
        <v>0</v>
      </c>
      <c r="J454" s="23">
        <f t="shared" si="36"/>
        <v>0</v>
      </c>
      <c r="K454" s="28"/>
      <c r="L454" s="27">
        <f t="shared" si="39"/>
        <v>0</v>
      </c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1:23" ht="20.100000000000001" customHeight="1" x14ac:dyDescent="0.2">
      <c r="A455" s="9">
        <v>444</v>
      </c>
      <c r="B455" s="10"/>
      <c r="C455" s="61"/>
      <c r="D455" s="1" t="str">
        <f t="shared" si="37"/>
        <v xml:space="preserve">, </v>
      </c>
      <c r="E455" s="1">
        <f t="shared" si="38"/>
        <v>444</v>
      </c>
      <c r="F455" s="17"/>
      <c r="G455" s="18"/>
      <c r="H455" s="18"/>
      <c r="I455" s="85">
        <f t="shared" si="35"/>
        <v>0</v>
      </c>
      <c r="J455" s="23">
        <f t="shared" si="36"/>
        <v>0</v>
      </c>
      <c r="K455" s="26"/>
      <c r="L455" s="27">
        <f t="shared" si="39"/>
        <v>0</v>
      </c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1:23" ht="20.100000000000001" customHeight="1" x14ac:dyDescent="0.2">
      <c r="A456" s="7">
        <v>445</v>
      </c>
      <c r="B456" s="8"/>
      <c r="C456" s="62"/>
      <c r="D456" s="1" t="str">
        <f t="shared" si="37"/>
        <v xml:space="preserve">, </v>
      </c>
      <c r="E456" s="1">
        <f t="shared" si="38"/>
        <v>445</v>
      </c>
      <c r="F456" s="15"/>
      <c r="G456" s="16"/>
      <c r="H456" s="16"/>
      <c r="I456" s="85">
        <f t="shared" si="35"/>
        <v>0</v>
      </c>
      <c r="J456" s="23">
        <f t="shared" si="36"/>
        <v>0</v>
      </c>
      <c r="K456" s="24"/>
      <c r="L456" s="25">
        <f t="shared" si="39"/>
        <v>0</v>
      </c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1:23" ht="20.100000000000001" customHeight="1" x14ac:dyDescent="0.2">
      <c r="A457" s="9">
        <v>446</v>
      </c>
      <c r="B457" s="10"/>
      <c r="C457" s="61"/>
      <c r="D457" s="1" t="str">
        <f t="shared" si="37"/>
        <v xml:space="preserve">, </v>
      </c>
      <c r="E457" s="1">
        <f t="shared" si="38"/>
        <v>446</v>
      </c>
      <c r="F457" s="17"/>
      <c r="G457" s="18"/>
      <c r="H457" s="18"/>
      <c r="I457" s="85">
        <f t="shared" si="35"/>
        <v>0</v>
      </c>
      <c r="J457" s="23">
        <f t="shared" si="36"/>
        <v>0</v>
      </c>
      <c r="K457" s="26"/>
      <c r="L457" s="27">
        <f t="shared" si="39"/>
        <v>0</v>
      </c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1:23" ht="20.100000000000001" customHeight="1" x14ac:dyDescent="0.2">
      <c r="A458" s="11">
        <v>447</v>
      </c>
      <c r="B458" s="12"/>
      <c r="C458" s="62"/>
      <c r="D458" s="1" t="str">
        <f t="shared" si="37"/>
        <v xml:space="preserve">, </v>
      </c>
      <c r="E458" s="1">
        <f t="shared" si="38"/>
        <v>447</v>
      </c>
      <c r="F458" s="19"/>
      <c r="G458" s="20"/>
      <c r="H458" s="20"/>
      <c r="I458" s="85">
        <f t="shared" si="35"/>
        <v>0</v>
      </c>
      <c r="J458" s="23">
        <f t="shared" si="36"/>
        <v>0</v>
      </c>
      <c r="K458" s="28"/>
      <c r="L458" s="27">
        <f t="shared" si="39"/>
        <v>0</v>
      </c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1:23" ht="20.100000000000001" customHeight="1" x14ac:dyDescent="0.2">
      <c r="A459" s="9">
        <v>448</v>
      </c>
      <c r="B459" s="10"/>
      <c r="C459" s="61"/>
      <c r="D459" s="1" t="str">
        <f t="shared" si="37"/>
        <v xml:space="preserve">, </v>
      </c>
      <c r="E459" s="1">
        <f t="shared" si="38"/>
        <v>448</v>
      </c>
      <c r="F459" s="17"/>
      <c r="G459" s="18"/>
      <c r="H459" s="18"/>
      <c r="I459" s="85">
        <f t="shared" si="35"/>
        <v>0</v>
      </c>
      <c r="J459" s="23">
        <f t="shared" si="36"/>
        <v>0</v>
      </c>
      <c r="K459" s="26"/>
      <c r="L459" s="27">
        <f t="shared" si="39"/>
        <v>0</v>
      </c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1:23" ht="20.100000000000001" customHeight="1" x14ac:dyDescent="0.2">
      <c r="A460" s="7">
        <v>449</v>
      </c>
      <c r="B460" s="8"/>
      <c r="C460" s="62"/>
      <c r="D460" s="1" t="str">
        <f t="shared" si="37"/>
        <v xml:space="preserve">, </v>
      </c>
      <c r="E460" s="1">
        <f t="shared" si="38"/>
        <v>449</v>
      </c>
      <c r="F460" s="15"/>
      <c r="G460" s="16"/>
      <c r="H460" s="16"/>
      <c r="I460" s="85">
        <f t="shared" ref="I460:I511" si="40">SUM(F460:H460)</f>
        <v>0</v>
      </c>
      <c r="J460" s="23">
        <f t="shared" ref="J460:J511" si="41">IFERROR(I460*$F$3,0)</f>
        <v>0</v>
      </c>
      <c r="K460" s="24"/>
      <c r="L460" s="25">
        <f t="shared" si="39"/>
        <v>0</v>
      </c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1:23" ht="20.100000000000001" customHeight="1" x14ac:dyDescent="0.2">
      <c r="A461" s="9">
        <v>450</v>
      </c>
      <c r="B461" s="10"/>
      <c r="C461" s="61"/>
      <c r="D461" s="1" t="str">
        <f t="shared" ref="D461:D511" si="42">CONCATENATE(C461,", ",B461)</f>
        <v xml:space="preserve">, </v>
      </c>
      <c r="E461" s="1">
        <f t="shared" ref="E461:E511" si="43">A461</f>
        <v>450</v>
      </c>
      <c r="F461" s="17"/>
      <c r="G461" s="18"/>
      <c r="H461" s="18"/>
      <c r="I461" s="85">
        <f t="shared" si="40"/>
        <v>0</v>
      </c>
      <c r="J461" s="23">
        <f t="shared" si="41"/>
        <v>0</v>
      </c>
      <c r="K461" s="26"/>
      <c r="L461" s="27">
        <f t="shared" si="39"/>
        <v>0</v>
      </c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1:23" ht="20.100000000000001" customHeight="1" x14ac:dyDescent="0.2">
      <c r="A462" s="11">
        <v>451</v>
      </c>
      <c r="B462" s="12"/>
      <c r="C462" s="62"/>
      <c r="D462" s="1" t="str">
        <f t="shared" si="42"/>
        <v xml:space="preserve">, </v>
      </c>
      <c r="E462" s="1">
        <f t="shared" si="43"/>
        <v>451</v>
      </c>
      <c r="F462" s="19"/>
      <c r="G462" s="20"/>
      <c r="H462" s="20"/>
      <c r="I462" s="85">
        <f t="shared" si="40"/>
        <v>0</v>
      </c>
      <c r="J462" s="23">
        <f t="shared" si="41"/>
        <v>0</v>
      </c>
      <c r="K462" s="28"/>
      <c r="L462" s="27">
        <f t="shared" si="39"/>
        <v>0</v>
      </c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1:23" ht="20.100000000000001" customHeight="1" x14ac:dyDescent="0.2">
      <c r="A463" s="9">
        <v>452</v>
      </c>
      <c r="B463" s="10"/>
      <c r="C463" s="61"/>
      <c r="D463" s="1" t="str">
        <f t="shared" si="42"/>
        <v xml:space="preserve">, </v>
      </c>
      <c r="E463" s="1">
        <f t="shared" si="43"/>
        <v>452</v>
      </c>
      <c r="F463" s="17"/>
      <c r="G463" s="18"/>
      <c r="H463" s="18"/>
      <c r="I463" s="85">
        <f t="shared" si="40"/>
        <v>0</v>
      </c>
      <c r="J463" s="23">
        <f t="shared" si="41"/>
        <v>0</v>
      </c>
      <c r="K463" s="26"/>
      <c r="L463" s="27">
        <f t="shared" si="39"/>
        <v>0</v>
      </c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1:23" ht="20.100000000000001" customHeight="1" x14ac:dyDescent="0.2">
      <c r="A464" s="7">
        <v>453</v>
      </c>
      <c r="B464" s="8"/>
      <c r="C464" s="62"/>
      <c r="D464" s="1" t="str">
        <f t="shared" si="42"/>
        <v xml:space="preserve">, </v>
      </c>
      <c r="E464" s="1">
        <f t="shared" si="43"/>
        <v>453</v>
      </c>
      <c r="F464" s="15"/>
      <c r="G464" s="16"/>
      <c r="H464" s="16"/>
      <c r="I464" s="85">
        <f t="shared" si="40"/>
        <v>0</v>
      </c>
      <c r="J464" s="23">
        <f t="shared" si="41"/>
        <v>0</v>
      </c>
      <c r="K464" s="24"/>
      <c r="L464" s="25">
        <f t="shared" si="39"/>
        <v>0</v>
      </c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1:23" ht="20.100000000000001" customHeight="1" x14ac:dyDescent="0.2">
      <c r="A465" s="9">
        <v>454</v>
      </c>
      <c r="B465" s="10"/>
      <c r="C465" s="61"/>
      <c r="D465" s="1" t="str">
        <f t="shared" si="42"/>
        <v xml:space="preserve">, </v>
      </c>
      <c r="E465" s="1">
        <f t="shared" si="43"/>
        <v>454</v>
      </c>
      <c r="F465" s="17"/>
      <c r="G465" s="18"/>
      <c r="H465" s="18"/>
      <c r="I465" s="85">
        <f t="shared" si="40"/>
        <v>0</v>
      </c>
      <c r="J465" s="23">
        <f t="shared" si="41"/>
        <v>0</v>
      </c>
      <c r="K465" s="26"/>
      <c r="L465" s="27">
        <f t="shared" si="39"/>
        <v>0</v>
      </c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1:23" ht="20.100000000000001" customHeight="1" x14ac:dyDescent="0.2">
      <c r="A466" s="11">
        <v>455</v>
      </c>
      <c r="B466" s="12"/>
      <c r="C466" s="62"/>
      <c r="D466" s="1" t="str">
        <f t="shared" si="42"/>
        <v xml:space="preserve">, </v>
      </c>
      <c r="E466" s="1">
        <f t="shared" si="43"/>
        <v>455</v>
      </c>
      <c r="F466" s="19"/>
      <c r="G466" s="20"/>
      <c r="H466" s="20"/>
      <c r="I466" s="85">
        <f t="shared" si="40"/>
        <v>0</v>
      </c>
      <c r="J466" s="23">
        <f t="shared" si="41"/>
        <v>0</v>
      </c>
      <c r="K466" s="28"/>
      <c r="L466" s="27">
        <f t="shared" si="39"/>
        <v>0</v>
      </c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1:23" ht="20.100000000000001" customHeight="1" x14ac:dyDescent="0.2">
      <c r="A467" s="9">
        <v>456</v>
      </c>
      <c r="B467" s="10"/>
      <c r="C467" s="61"/>
      <c r="D467" s="1" t="str">
        <f t="shared" si="42"/>
        <v xml:space="preserve">, </v>
      </c>
      <c r="E467" s="1">
        <f t="shared" si="43"/>
        <v>456</v>
      </c>
      <c r="F467" s="17"/>
      <c r="G467" s="18"/>
      <c r="H467" s="18"/>
      <c r="I467" s="85">
        <f t="shared" si="40"/>
        <v>0</v>
      </c>
      <c r="J467" s="23">
        <f t="shared" si="41"/>
        <v>0</v>
      </c>
      <c r="K467" s="26"/>
      <c r="L467" s="27">
        <f t="shared" si="39"/>
        <v>0</v>
      </c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1:23" ht="20.100000000000001" customHeight="1" x14ac:dyDescent="0.2">
      <c r="A468" s="7">
        <v>457</v>
      </c>
      <c r="B468" s="8"/>
      <c r="C468" s="62"/>
      <c r="D468" s="1" t="str">
        <f t="shared" si="42"/>
        <v xml:space="preserve">, </v>
      </c>
      <c r="E468" s="1">
        <f t="shared" si="43"/>
        <v>457</v>
      </c>
      <c r="F468" s="15"/>
      <c r="G468" s="16"/>
      <c r="H468" s="16"/>
      <c r="I468" s="85">
        <f t="shared" si="40"/>
        <v>0</v>
      </c>
      <c r="J468" s="23">
        <f t="shared" si="41"/>
        <v>0</v>
      </c>
      <c r="K468" s="24"/>
      <c r="L468" s="25">
        <f t="shared" si="39"/>
        <v>0</v>
      </c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1:23" ht="20.100000000000001" customHeight="1" x14ac:dyDescent="0.2">
      <c r="A469" s="9">
        <v>458</v>
      </c>
      <c r="B469" s="10"/>
      <c r="C469" s="61"/>
      <c r="D469" s="1" t="str">
        <f t="shared" si="42"/>
        <v xml:space="preserve">, </v>
      </c>
      <c r="E469" s="1">
        <f t="shared" si="43"/>
        <v>458</v>
      </c>
      <c r="F469" s="17"/>
      <c r="G469" s="18"/>
      <c r="H469" s="18"/>
      <c r="I469" s="85">
        <f t="shared" si="40"/>
        <v>0</v>
      </c>
      <c r="J469" s="23">
        <f t="shared" si="41"/>
        <v>0</v>
      </c>
      <c r="K469" s="26"/>
      <c r="L469" s="27">
        <f t="shared" si="39"/>
        <v>0</v>
      </c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1:23" ht="20.100000000000001" customHeight="1" x14ac:dyDescent="0.2">
      <c r="A470" s="11">
        <v>459</v>
      </c>
      <c r="B470" s="12"/>
      <c r="C470" s="62"/>
      <c r="D470" s="1" t="str">
        <f t="shared" si="42"/>
        <v xml:space="preserve">, </v>
      </c>
      <c r="E470" s="1">
        <f t="shared" si="43"/>
        <v>459</v>
      </c>
      <c r="F470" s="19"/>
      <c r="G470" s="20"/>
      <c r="H470" s="20"/>
      <c r="I470" s="85">
        <f t="shared" si="40"/>
        <v>0</v>
      </c>
      <c r="J470" s="23">
        <f t="shared" si="41"/>
        <v>0</v>
      </c>
      <c r="K470" s="28"/>
      <c r="L470" s="27">
        <f t="shared" si="39"/>
        <v>0</v>
      </c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1:23" ht="20.100000000000001" customHeight="1" x14ac:dyDescent="0.2">
      <c r="A471" s="9">
        <v>460</v>
      </c>
      <c r="B471" s="10"/>
      <c r="C471" s="61"/>
      <c r="D471" s="1" t="str">
        <f t="shared" si="42"/>
        <v xml:space="preserve">, </v>
      </c>
      <c r="E471" s="1">
        <f t="shared" si="43"/>
        <v>460</v>
      </c>
      <c r="F471" s="17"/>
      <c r="G471" s="18"/>
      <c r="H471" s="18"/>
      <c r="I471" s="85">
        <f t="shared" si="40"/>
        <v>0</v>
      </c>
      <c r="J471" s="23">
        <f t="shared" si="41"/>
        <v>0</v>
      </c>
      <c r="K471" s="26"/>
      <c r="L471" s="27">
        <f t="shared" si="39"/>
        <v>0</v>
      </c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1:23" ht="20.100000000000001" customHeight="1" x14ac:dyDescent="0.2">
      <c r="A472" s="7">
        <v>461</v>
      </c>
      <c r="B472" s="8"/>
      <c r="C472" s="62"/>
      <c r="D472" s="1" t="str">
        <f t="shared" si="42"/>
        <v xml:space="preserve">, </v>
      </c>
      <c r="E472" s="1">
        <f t="shared" si="43"/>
        <v>461</v>
      </c>
      <c r="F472" s="15"/>
      <c r="G472" s="16"/>
      <c r="H472" s="16"/>
      <c r="I472" s="85">
        <f t="shared" si="40"/>
        <v>0</v>
      </c>
      <c r="J472" s="23">
        <f t="shared" si="41"/>
        <v>0</v>
      </c>
      <c r="K472" s="24"/>
      <c r="L472" s="25">
        <f t="shared" si="39"/>
        <v>0</v>
      </c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1:23" ht="20.100000000000001" customHeight="1" x14ac:dyDescent="0.2">
      <c r="A473" s="9">
        <v>462</v>
      </c>
      <c r="B473" s="10"/>
      <c r="C473" s="61"/>
      <c r="D473" s="1" t="str">
        <f t="shared" si="42"/>
        <v xml:space="preserve">, </v>
      </c>
      <c r="E473" s="1">
        <f t="shared" si="43"/>
        <v>462</v>
      </c>
      <c r="F473" s="17"/>
      <c r="G473" s="18"/>
      <c r="H473" s="18"/>
      <c r="I473" s="85">
        <f t="shared" si="40"/>
        <v>0</v>
      </c>
      <c r="J473" s="23">
        <f t="shared" si="41"/>
        <v>0</v>
      </c>
      <c r="K473" s="26"/>
      <c r="L473" s="27">
        <f t="shared" si="39"/>
        <v>0</v>
      </c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1:23" ht="20.100000000000001" customHeight="1" x14ac:dyDescent="0.2">
      <c r="A474" s="11">
        <v>463</v>
      </c>
      <c r="B474" s="12"/>
      <c r="C474" s="62"/>
      <c r="D474" s="1" t="str">
        <f t="shared" si="42"/>
        <v xml:space="preserve">, </v>
      </c>
      <c r="E474" s="1">
        <f t="shared" si="43"/>
        <v>463</v>
      </c>
      <c r="F474" s="19"/>
      <c r="G474" s="20"/>
      <c r="H474" s="20"/>
      <c r="I474" s="85">
        <f t="shared" si="40"/>
        <v>0</v>
      </c>
      <c r="J474" s="23">
        <f t="shared" si="41"/>
        <v>0</v>
      </c>
      <c r="K474" s="28"/>
      <c r="L474" s="27">
        <f t="shared" si="39"/>
        <v>0</v>
      </c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1:23" ht="20.100000000000001" customHeight="1" x14ac:dyDescent="0.2">
      <c r="A475" s="9">
        <v>464</v>
      </c>
      <c r="B475" s="10"/>
      <c r="C475" s="61"/>
      <c r="D475" s="1" t="str">
        <f t="shared" si="42"/>
        <v xml:space="preserve">, </v>
      </c>
      <c r="E475" s="1">
        <f t="shared" si="43"/>
        <v>464</v>
      </c>
      <c r="F475" s="17"/>
      <c r="G475" s="18"/>
      <c r="H475" s="18"/>
      <c r="I475" s="85">
        <f t="shared" si="40"/>
        <v>0</v>
      </c>
      <c r="J475" s="23">
        <f t="shared" si="41"/>
        <v>0</v>
      </c>
      <c r="K475" s="26"/>
      <c r="L475" s="27">
        <f t="shared" si="39"/>
        <v>0</v>
      </c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1:23" ht="20.100000000000001" customHeight="1" x14ac:dyDescent="0.2">
      <c r="A476" s="7">
        <v>465</v>
      </c>
      <c r="B476" s="8"/>
      <c r="C476" s="62"/>
      <c r="D476" s="1" t="str">
        <f t="shared" si="42"/>
        <v xml:space="preserve">, </v>
      </c>
      <c r="E476" s="1">
        <f t="shared" si="43"/>
        <v>465</v>
      </c>
      <c r="F476" s="15"/>
      <c r="G476" s="16"/>
      <c r="H476" s="16"/>
      <c r="I476" s="85">
        <f t="shared" si="40"/>
        <v>0</v>
      </c>
      <c r="J476" s="23">
        <f t="shared" si="41"/>
        <v>0</v>
      </c>
      <c r="K476" s="24"/>
      <c r="L476" s="25">
        <f t="shared" si="39"/>
        <v>0</v>
      </c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1:23" ht="20.100000000000001" customHeight="1" x14ac:dyDescent="0.2">
      <c r="A477" s="9">
        <v>466</v>
      </c>
      <c r="B477" s="10"/>
      <c r="C477" s="61"/>
      <c r="D477" s="1" t="str">
        <f t="shared" si="42"/>
        <v xml:space="preserve">, </v>
      </c>
      <c r="E477" s="1">
        <f t="shared" si="43"/>
        <v>466</v>
      </c>
      <c r="F477" s="17"/>
      <c r="G477" s="18"/>
      <c r="H477" s="18"/>
      <c r="I477" s="85">
        <f t="shared" si="40"/>
        <v>0</v>
      </c>
      <c r="J477" s="23">
        <f t="shared" si="41"/>
        <v>0</v>
      </c>
      <c r="K477" s="26"/>
      <c r="L477" s="27">
        <f t="shared" si="39"/>
        <v>0</v>
      </c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1:23" ht="20.100000000000001" customHeight="1" x14ac:dyDescent="0.2">
      <c r="A478" s="11">
        <v>467</v>
      </c>
      <c r="B478" s="12"/>
      <c r="C478" s="62"/>
      <c r="D478" s="1" t="str">
        <f t="shared" si="42"/>
        <v xml:space="preserve">, </v>
      </c>
      <c r="E478" s="1">
        <f t="shared" si="43"/>
        <v>467</v>
      </c>
      <c r="F478" s="19"/>
      <c r="G478" s="20"/>
      <c r="H478" s="20"/>
      <c r="I478" s="85">
        <f t="shared" si="40"/>
        <v>0</v>
      </c>
      <c r="J478" s="23">
        <f t="shared" si="41"/>
        <v>0</v>
      </c>
      <c r="K478" s="28"/>
      <c r="L478" s="27">
        <f t="shared" si="39"/>
        <v>0</v>
      </c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1:23" ht="20.100000000000001" customHeight="1" x14ac:dyDescent="0.2">
      <c r="A479" s="9">
        <v>468</v>
      </c>
      <c r="B479" s="10"/>
      <c r="C479" s="61"/>
      <c r="D479" s="1" t="str">
        <f t="shared" si="42"/>
        <v xml:space="preserve">, </v>
      </c>
      <c r="E479" s="1">
        <f t="shared" si="43"/>
        <v>468</v>
      </c>
      <c r="F479" s="17"/>
      <c r="G479" s="18"/>
      <c r="H479" s="18"/>
      <c r="I479" s="85">
        <f t="shared" si="40"/>
        <v>0</v>
      </c>
      <c r="J479" s="23">
        <f t="shared" si="41"/>
        <v>0</v>
      </c>
      <c r="K479" s="26"/>
      <c r="L479" s="27">
        <f t="shared" si="39"/>
        <v>0</v>
      </c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1:23" ht="20.100000000000001" customHeight="1" x14ac:dyDescent="0.2">
      <c r="A480" s="7">
        <v>469</v>
      </c>
      <c r="B480" s="8"/>
      <c r="C480" s="62"/>
      <c r="D480" s="1" t="str">
        <f t="shared" si="42"/>
        <v xml:space="preserve">, </v>
      </c>
      <c r="E480" s="1">
        <f t="shared" si="43"/>
        <v>469</v>
      </c>
      <c r="F480" s="15"/>
      <c r="G480" s="16"/>
      <c r="H480" s="16"/>
      <c r="I480" s="85">
        <f t="shared" si="40"/>
        <v>0</v>
      </c>
      <c r="J480" s="23">
        <f t="shared" si="41"/>
        <v>0</v>
      </c>
      <c r="K480" s="24"/>
      <c r="L480" s="25">
        <f t="shared" si="39"/>
        <v>0</v>
      </c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1:23" ht="20.100000000000001" customHeight="1" x14ac:dyDescent="0.2">
      <c r="A481" s="9">
        <v>470</v>
      </c>
      <c r="B481" s="10"/>
      <c r="C481" s="61"/>
      <c r="D481" s="1" t="str">
        <f t="shared" si="42"/>
        <v xml:space="preserve">, </v>
      </c>
      <c r="E481" s="1">
        <f t="shared" si="43"/>
        <v>470</v>
      </c>
      <c r="F481" s="17"/>
      <c r="G481" s="18"/>
      <c r="H481" s="18"/>
      <c r="I481" s="85">
        <f t="shared" si="40"/>
        <v>0</v>
      </c>
      <c r="J481" s="23">
        <f t="shared" si="41"/>
        <v>0</v>
      </c>
      <c r="K481" s="26"/>
      <c r="L481" s="27">
        <f t="shared" si="39"/>
        <v>0</v>
      </c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1:23" ht="20.100000000000001" customHeight="1" x14ac:dyDescent="0.2">
      <c r="A482" s="11">
        <v>471</v>
      </c>
      <c r="B482" s="12"/>
      <c r="C482" s="62"/>
      <c r="D482" s="1" t="str">
        <f t="shared" si="42"/>
        <v xml:space="preserve">, </v>
      </c>
      <c r="E482" s="1">
        <f t="shared" si="43"/>
        <v>471</v>
      </c>
      <c r="F482" s="19"/>
      <c r="G482" s="20"/>
      <c r="H482" s="20"/>
      <c r="I482" s="85">
        <f t="shared" si="40"/>
        <v>0</v>
      </c>
      <c r="J482" s="23">
        <f t="shared" si="41"/>
        <v>0</v>
      </c>
      <c r="K482" s="28"/>
      <c r="L482" s="27">
        <f t="shared" si="39"/>
        <v>0</v>
      </c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1:23" ht="20.100000000000001" customHeight="1" x14ac:dyDescent="0.2">
      <c r="A483" s="9">
        <v>472</v>
      </c>
      <c r="B483" s="10"/>
      <c r="C483" s="61"/>
      <c r="D483" s="1" t="str">
        <f t="shared" si="42"/>
        <v xml:space="preserve">, </v>
      </c>
      <c r="E483" s="1">
        <f t="shared" si="43"/>
        <v>472</v>
      </c>
      <c r="F483" s="17"/>
      <c r="G483" s="18"/>
      <c r="H483" s="18"/>
      <c r="I483" s="85">
        <f t="shared" si="40"/>
        <v>0</v>
      </c>
      <c r="J483" s="23">
        <f t="shared" si="41"/>
        <v>0</v>
      </c>
      <c r="K483" s="26"/>
      <c r="L483" s="27">
        <f t="shared" si="39"/>
        <v>0</v>
      </c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1:23" ht="20.100000000000001" customHeight="1" x14ac:dyDescent="0.2">
      <c r="A484" s="7">
        <v>473</v>
      </c>
      <c r="B484" s="8"/>
      <c r="C484" s="62"/>
      <c r="D484" s="1" t="str">
        <f t="shared" si="42"/>
        <v xml:space="preserve">, </v>
      </c>
      <c r="E484" s="1">
        <f t="shared" si="43"/>
        <v>473</v>
      </c>
      <c r="F484" s="15"/>
      <c r="G484" s="16"/>
      <c r="H484" s="16"/>
      <c r="I484" s="85">
        <f t="shared" si="40"/>
        <v>0</v>
      </c>
      <c r="J484" s="23">
        <f t="shared" si="41"/>
        <v>0</v>
      </c>
      <c r="K484" s="24"/>
      <c r="L484" s="25">
        <f t="shared" si="39"/>
        <v>0</v>
      </c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1:23" ht="20.100000000000001" customHeight="1" x14ac:dyDescent="0.2">
      <c r="A485" s="9">
        <v>474</v>
      </c>
      <c r="B485" s="10"/>
      <c r="C485" s="61"/>
      <c r="D485" s="1" t="str">
        <f t="shared" si="42"/>
        <v xml:space="preserve">, </v>
      </c>
      <c r="E485" s="1">
        <f t="shared" si="43"/>
        <v>474</v>
      </c>
      <c r="F485" s="17"/>
      <c r="G485" s="18"/>
      <c r="H485" s="18"/>
      <c r="I485" s="85">
        <f t="shared" si="40"/>
        <v>0</v>
      </c>
      <c r="J485" s="23">
        <f t="shared" si="41"/>
        <v>0</v>
      </c>
      <c r="K485" s="26"/>
      <c r="L485" s="27">
        <f t="shared" si="39"/>
        <v>0</v>
      </c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1:23" ht="20.100000000000001" customHeight="1" x14ac:dyDescent="0.2">
      <c r="A486" s="11">
        <v>475</v>
      </c>
      <c r="B486" s="12"/>
      <c r="C486" s="62"/>
      <c r="D486" s="1" t="str">
        <f t="shared" si="42"/>
        <v xml:space="preserve">, </v>
      </c>
      <c r="E486" s="1">
        <f t="shared" si="43"/>
        <v>475</v>
      </c>
      <c r="F486" s="19"/>
      <c r="G486" s="20"/>
      <c r="H486" s="20"/>
      <c r="I486" s="85">
        <f t="shared" si="40"/>
        <v>0</v>
      </c>
      <c r="J486" s="23">
        <f t="shared" si="41"/>
        <v>0</v>
      </c>
      <c r="K486" s="28"/>
      <c r="L486" s="27">
        <f t="shared" si="39"/>
        <v>0</v>
      </c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1:23" ht="20.100000000000001" customHeight="1" x14ac:dyDescent="0.2">
      <c r="A487" s="9">
        <v>476</v>
      </c>
      <c r="B487" s="10"/>
      <c r="C487" s="61"/>
      <c r="D487" s="1" t="str">
        <f t="shared" si="42"/>
        <v xml:space="preserve">, </v>
      </c>
      <c r="E487" s="1">
        <f t="shared" si="43"/>
        <v>476</v>
      </c>
      <c r="F487" s="17"/>
      <c r="G487" s="18"/>
      <c r="H487" s="18"/>
      <c r="I487" s="85">
        <f t="shared" si="40"/>
        <v>0</v>
      </c>
      <c r="J487" s="23">
        <f t="shared" si="41"/>
        <v>0</v>
      </c>
      <c r="K487" s="26"/>
      <c r="L487" s="27">
        <f t="shared" si="39"/>
        <v>0</v>
      </c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1:23" ht="20.100000000000001" customHeight="1" x14ac:dyDescent="0.2">
      <c r="A488" s="7">
        <v>477</v>
      </c>
      <c r="B488" s="8"/>
      <c r="C488" s="62"/>
      <c r="D488" s="1" t="str">
        <f t="shared" si="42"/>
        <v xml:space="preserve">, </v>
      </c>
      <c r="E488" s="1">
        <f t="shared" si="43"/>
        <v>477</v>
      </c>
      <c r="F488" s="15"/>
      <c r="G488" s="16"/>
      <c r="H488" s="16"/>
      <c r="I488" s="85">
        <f t="shared" si="40"/>
        <v>0</v>
      </c>
      <c r="J488" s="23">
        <f t="shared" si="41"/>
        <v>0</v>
      </c>
      <c r="K488" s="24"/>
      <c r="L488" s="25">
        <f t="shared" si="39"/>
        <v>0</v>
      </c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1:23" ht="20.100000000000001" customHeight="1" x14ac:dyDescent="0.2">
      <c r="A489" s="9">
        <v>478</v>
      </c>
      <c r="B489" s="10"/>
      <c r="C489" s="61"/>
      <c r="D489" s="1" t="str">
        <f t="shared" si="42"/>
        <v xml:space="preserve">, </v>
      </c>
      <c r="E489" s="1">
        <f t="shared" si="43"/>
        <v>478</v>
      </c>
      <c r="F489" s="17"/>
      <c r="G489" s="18"/>
      <c r="H489" s="18"/>
      <c r="I489" s="85">
        <f t="shared" si="40"/>
        <v>0</v>
      </c>
      <c r="J489" s="23">
        <f t="shared" si="41"/>
        <v>0</v>
      </c>
      <c r="K489" s="26"/>
      <c r="L489" s="27">
        <f t="shared" si="39"/>
        <v>0</v>
      </c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1:23" ht="20.100000000000001" customHeight="1" x14ac:dyDescent="0.2">
      <c r="A490" s="11">
        <v>479</v>
      </c>
      <c r="B490" s="12"/>
      <c r="C490" s="62"/>
      <c r="D490" s="1" t="str">
        <f t="shared" si="42"/>
        <v xml:space="preserve">, </v>
      </c>
      <c r="E490" s="1">
        <f t="shared" si="43"/>
        <v>479</v>
      </c>
      <c r="F490" s="19"/>
      <c r="G490" s="20"/>
      <c r="H490" s="20"/>
      <c r="I490" s="85">
        <f t="shared" si="40"/>
        <v>0</v>
      </c>
      <c r="J490" s="23">
        <f t="shared" si="41"/>
        <v>0</v>
      </c>
      <c r="K490" s="28"/>
      <c r="L490" s="27">
        <f t="shared" si="39"/>
        <v>0</v>
      </c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1:23" ht="20.100000000000001" customHeight="1" x14ac:dyDescent="0.2">
      <c r="A491" s="9">
        <v>480</v>
      </c>
      <c r="B491" s="10"/>
      <c r="C491" s="61"/>
      <c r="D491" s="1" t="str">
        <f t="shared" si="42"/>
        <v xml:space="preserve">, </v>
      </c>
      <c r="E491" s="1">
        <f t="shared" si="43"/>
        <v>480</v>
      </c>
      <c r="F491" s="17"/>
      <c r="G491" s="18"/>
      <c r="H491" s="18"/>
      <c r="I491" s="85">
        <f t="shared" si="40"/>
        <v>0</v>
      </c>
      <c r="J491" s="23">
        <f t="shared" si="41"/>
        <v>0</v>
      </c>
      <c r="K491" s="26"/>
      <c r="L491" s="27">
        <f t="shared" si="39"/>
        <v>0</v>
      </c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1:23" ht="20.100000000000001" customHeight="1" x14ac:dyDescent="0.2">
      <c r="A492" s="7">
        <v>481</v>
      </c>
      <c r="B492" s="8"/>
      <c r="C492" s="62"/>
      <c r="D492" s="1" t="str">
        <f t="shared" si="42"/>
        <v xml:space="preserve">, </v>
      </c>
      <c r="E492" s="1">
        <f t="shared" si="43"/>
        <v>481</v>
      </c>
      <c r="F492" s="15"/>
      <c r="G492" s="16"/>
      <c r="H492" s="16"/>
      <c r="I492" s="85">
        <f t="shared" si="40"/>
        <v>0</v>
      </c>
      <c r="J492" s="23">
        <f t="shared" si="41"/>
        <v>0</v>
      </c>
      <c r="K492" s="24"/>
      <c r="L492" s="25">
        <f t="shared" si="39"/>
        <v>0</v>
      </c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1:23" ht="20.100000000000001" customHeight="1" x14ac:dyDescent="0.2">
      <c r="A493" s="9">
        <v>482</v>
      </c>
      <c r="B493" s="10"/>
      <c r="C493" s="61"/>
      <c r="D493" s="1" t="str">
        <f t="shared" si="42"/>
        <v xml:space="preserve">, </v>
      </c>
      <c r="E493" s="1">
        <f t="shared" si="43"/>
        <v>482</v>
      </c>
      <c r="F493" s="17"/>
      <c r="G493" s="18"/>
      <c r="H493" s="18"/>
      <c r="I493" s="85">
        <f t="shared" si="40"/>
        <v>0</v>
      </c>
      <c r="J493" s="23">
        <f t="shared" si="41"/>
        <v>0</v>
      </c>
      <c r="K493" s="26"/>
      <c r="L493" s="27">
        <f t="shared" si="39"/>
        <v>0</v>
      </c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1:23" ht="20.100000000000001" customHeight="1" x14ac:dyDescent="0.2">
      <c r="A494" s="11">
        <v>483</v>
      </c>
      <c r="B494" s="12"/>
      <c r="C494" s="62"/>
      <c r="D494" s="1" t="str">
        <f t="shared" si="42"/>
        <v xml:space="preserve">, </v>
      </c>
      <c r="E494" s="1">
        <f t="shared" si="43"/>
        <v>483</v>
      </c>
      <c r="F494" s="19"/>
      <c r="G494" s="20"/>
      <c r="H494" s="20"/>
      <c r="I494" s="85">
        <f t="shared" si="40"/>
        <v>0</v>
      </c>
      <c r="J494" s="23">
        <f t="shared" si="41"/>
        <v>0</v>
      </c>
      <c r="K494" s="28"/>
      <c r="L494" s="27">
        <f t="shared" si="39"/>
        <v>0</v>
      </c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ht="20.100000000000001" customHeight="1" x14ac:dyDescent="0.2">
      <c r="A495" s="9">
        <v>484</v>
      </c>
      <c r="B495" s="10"/>
      <c r="C495" s="61"/>
      <c r="D495" s="1" t="str">
        <f t="shared" si="42"/>
        <v xml:space="preserve">, </v>
      </c>
      <c r="E495" s="1">
        <f t="shared" si="43"/>
        <v>484</v>
      </c>
      <c r="F495" s="17"/>
      <c r="G495" s="18"/>
      <c r="H495" s="18"/>
      <c r="I495" s="85">
        <f t="shared" si="40"/>
        <v>0</v>
      </c>
      <c r="J495" s="23">
        <f t="shared" si="41"/>
        <v>0</v>
      </c>
      <c r="K495" s="26"/>
      <c r="L495" s="27">
        <f t="shared" si="39"/>
        <v>0</v>
      </c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1:23" ht="20.100000000000001" customHeight="1" x14ac:dyDescent="0.2">
      <c r="A496" s="7">
        <v>485</v>
      </c>
      <c r="B496" s="8"/>
      <c r="C496" s="62"/>
      <c r="D496" s="1" t="str">
        <f t="shared" si="42"/>
        <v xml:space="preserve">, </v>
      </c>
      <c r="E496" s="1">
        <f t="shared" si="43"/>
        <v>485</v>
      </c>
      <c r="F496" s="15"/>
      <c r="G496" s="16"/>
      <c r="H496" s="16"/>
      <c r="I496" s="85">
        <f t="shared" si="40"/>
        <v>0</v>
      </c>
      <c r="J496" s="23">
        <f t="shared" si="41"/>
        <v>0</v>
      </c>
      <c r="K496" s="24"/>
      <c r="L496" s="25">
        <f t="shared" si="39"/>
        <v>0</v>
      </c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1:23" ht="20.100000000000001" customHeight="1" x14ac:dyDescent="0.2">
      <c r="A497" s="9">
        <v>486</v>
      </c>
      <c r="B497" s="10"/>
      <c r="C497" s="61"/>
      <c r="D497" s="1" t="str">
        <f t="shared" si="42"/>
        <v xml:space="preserve">, </v>
      </c>
      <c r="E497" s="1">
        <f t="shared" si="43"/>
        <v>486</v>
      </c>
      <c r="F497" s="17"/>
      <c r="G497" s="18"/>
      <c r="H497" s="18"/>
      <c r="I497" s="85">
        <f t="shared" si="40"/>
        <v>0</v>
      </c>
      <c r="J497" s="23">
        <f t="shared" si="41"/>
        <v>0</v>
      </c>
      <c r="K497" s="26"/>
      <c r="L497" s="27">
        <f t="shared" si="39"/>
        <v>0</v>
      </c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1:23" ht="20.100000000000001" customHeight="1" x14ac:dyDescent="0.2">
      <c r="A498" s="11">
        <v>487</v>
      </c>
      <c r="B498" s="12"/>
      <c r="C498" s="62"/>
      <c r="D498" s="1" t="str">
        <f t="shared" si="42"/>
        <v xml:space="preserve">, </v>
      </c>
      <c r="E498" s="1">
        <f t="shared" si="43"/>
        <v>487</v>
      </c>
      <c r="F498" s="19"/>
      <c r="G498" s="20"/>
      <c r="H498" s="20"/>
      <c r="I498" s="85">
        <f t="shared" si="40"/>
        <v>0</v>
      </c>
      <c r="J498" s="23">
        <f t="shared" si="41"/>
        <v>0</v>
      </c>
      <c r="K498" s="28"/>
      <c r="L498" s="27">
        <f t="shared" si="39"/>
        <v>0</v>
      </c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1:23" ht="20.100000000000001" customHeight="1" x14ac:dyDescent="0.2">
      <c r="A499" s="9">
        <v>488</v>
      </c>
      <c r="B499" s="10"/>
      <c r="C499" s="61"/>
      <c r="D499" s="1" t="str">
        <f t="shared" si="42"/>
        <v xml:space="preserve">, </v>
      </c>
      <c r="E499" s="1">
        <f t="shared" si="43"/>
        <v>488</v>
      </c>
      <c r="F499" s="17"/>
      <c r="G499" s="18"/>
      <c r="H499" s="18"/>
      <c r="I499" s="85">
        <f t="shared" si="40"/>
        <v>0</v>
      </c>
      <c r="J499" s="23">
        <f t="shared" si="41"/>
        <v>0</v>
      </c>
      <c r="K499" s="26"/>
      <c r="L499" s="27">
        <f t="shared" si="39"/>
        <v>0</v>
      </c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1:23" ht="20.100000000000001" customHeight="1" x14ac:dyDescent="0.2">
      <c r="A500" s="7">
        <v>489</v>
      </c>
      <c r="B500" s="8"/>
      <c r="C500" s="62"/>
      <c r="D500" s="1" t="str">
        <f t="shared" si="42"/>
        <v xml:space="preserve">, </v>
      </c>
      <c r="E500" s="1">
        <f t="shared" si="43"/>
        <v>489</v>
      </c>
      <c r="F500" s="15"/>
      <c r="G500" s="16"/>
      <c r="H500" s="16"/>
      <c r="I500" s="85">
        <f t="shared" si="40"/>
        <v>0</v>
      </c>
      <c r="J500" s="23">
        <f t="shared" si="41"/>
        <v>0</v>
      </c>
      <c r="K500" s="24"/>
      <c r="L500" s="25">
        <f t="shared" si="39"/>
        <v>0</v>
      </c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1:23" ht="20.100000000000001" customHeight="1" x14ac:dyDescent="0.2">
      <c r="A501" s="9">
        <v>490</v>
      </c>
      <c r="B501" s="10"/>
      <c r="C501" s="61"/>
      <c r="D501" s="1" t="str">
        <f t="shared" si="42"/>
        <v xml:space="preserve">, </v>
      </c>
      <c r="E501" s="1">
        <f t="shared" si="43"/>
        <v>490</v>
      </c>
      <c r="F501" s="17"/>
      <c r="G501" s="18"/>
      <c r="H501" s="18"/>
      <c r="I501" s="85">
        <f t="shared" si="40"/>
        <v>0</v>
      </c>
      <c r="J501" s="23">
        <f t="shared" si="41"/>
        <v>0</v>
      </c>
      <c r="K501" s="26"/>
      <c r="L501" s="27">
        <f t="shared" si="39"/>
        <v>0</v>
      </c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1:23" ht="20.100000000000001" customHeight="1" x14ac:dyDescent="0.2">
      <c r="A502" s="11">
        <v>491</v>
      </c>
      <c r="B502" s="12"/>
      <c r="C502" s="62"/>
      <c r="D502" s="1" t="str">
        <f t="shared" si="42"/>
        <v xml:space="preserve">, </v>
      </c>
      <c r="E502" s="1">
        <f t="shared" si="43"/>
        <v>491</v>
      </c>
      <c r="F502" s="19"/>
      <c r="G502" s="20"/>
      <c r="H502" s="20"/>
      <c r="I502" s="85">
        <f t="shared" si="40"/>
        <v>0</v>
      </c>
      <c r="J502" s="23">
        <f t="shared" si="41"/>
        <v>0</v>
      </c>
      <c r="K502" s="28"/>
      <c r="L502" s="27">
        <f t="shared" si="39"/>
        <v>0</v>
      </c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1:23" ht="20.100000000000001" customHeight="1" x14ac:dyDescent="0.2">
      <c r="A503" s="9">
        <v>492</v>
      </c>
      <c r="B503" s="10"/>
      <c r="C503" s="61"/>
      <c r="D503" s="1" t="str">
        <f t="shared" si="42"/>
        <v xml:space="preserve">, </v>
      </c>
      <c r="E503" s="1">
        <f t="shared" si="43"/>
        <v>492</v>
      </c>
      <c r="F503" s="17"/>
      <c r="G503" s="18"/>
      <c r="H503" s="18"/>
      <c r="I503" s="85">
        <f t="shared" si="40"/>
        <v>0</v>
      </c>
      <c r="J503" s="23">
        <f t="shared" si="41"/>
        <v>0</v>
      </c>
      <c r="K503" s="26"/>
      <c r="L503" s="27">
        <f t="shared" si="39"/>
        <v>0</v>
      </c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1:23" ht="20.100000000000001" customHeight="1" x14ac:dyDescent="0.2">
      <c r="A504" s="7">
        <v>493</v>
      </c>
      <c r="B504" s="8"/>
      <c r="C504" s="62"/>
      <c r="D504" s="1" t="str">
        <f t="shared" si="42"/>
        <v xml:space="preserve">, </v>
      </c>
      <c r="E504" s="1">
        <f t="shared" si="43"/>
        <v>493</v>
      </c>
      <c r="F504" s="15"/>
      <c r="G504" s="16"/>
      <c r="H504" s="16"/>
      <c r="I504" s="85">
        <f t="shared" si="40"/>
        <v>0</v>
      </c>
      <c r="J504" s="23">
        <f t="shared" si="41"/>
        <v>0</v>
      </c>
      <c r="K504" s="24"/>
      <c r="L504" s="25">
        <f t="shared" si="39"/>
        <v>0</v>
      </c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1:23" ht="20.100000000000001" customHeight="1" x14ac:dyDescent="0.2">
      <c r="A505" s="9">
        <v>494</v>
      </c>
      <c r="B505" s="10"/>
      <c r="C505" s="61"/>
      <c r="D505" s="1" t="str">
        <f t="shared" si="42"/>
        <v xml:space="preserve">, </v>
      </c>
      <c r="E505" s="1">
        <f t="shared" si="43"/>
        <v>494</v>
      </c>
      <c r="F505" s="17"/>
      <c r="G505" s="18"/>
      <c r="H505" s="18"/>
      <c r="I505" s="85">
        <f t="shared" si="40"/>
        <v>0</v>
      </c>
      <c r="J505" s="23">
        <f t="shared" si="41"/>
        <v>0</v>
      </c>
      <c r="K505" s="26"/>
      <c r="L505" s="27">
        <f t="shared" si="39"/>
        <v>0</v>
      </c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1:23" ht="20.100000000000001" customHeight="1" x14ac:dyDescent="0.2">
      <c r="A506" s="11">
        <v>495</v>
      </c>
      <c r="B506" s="12"/>
      <c r="C506" s="62"/>
      <c r="D506" s="1" t="str">
        <f t="shared" si="42"/>
        <v xml:space="preserve">, </v>
      </c>
      <c r="E506" s="1">
        <f t="shared" si="43"/>
        <v>495</v>
      </c>
      <c r="F506" s="19"/>
      <c r="G506" s="20"/>
      <c r="H506" s="20"/>
      <c r="I506" s="85">
        <f t="shared" si="40"/>
        <v>0</v>
      </c>
      <c r="J506" s="23">
        <f t="shared" si="41"/>
        <v>0</v>
      </c>
      <c r="K506" s="28"/>
      <c r="L506" s="27">
        <f t="shared" si="39"/>
        <v>0</v>
      </c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1:23" ht="20.100000000000001" customHeight="1" x14ac:dyDescent="0.2">
      <c r="A507" s="9">
        <v>496</v>
      </c>
      <c r="B507" s="10"/>
      <c r="C507" s="61"/>
      <c r="D507" s="1" t="str">
        <f t="shared" si="42"/>
        <v xml:space="preserve">, </v>
      </c>
      <c r="E507" s="1">
        <f t="shared" si="43"/>
        <v>496</v>
      </c>
      <c r="F507" s="17"/>
      <c r="G507" s="18"/>
      <c r="H507" s="18"/>
      <c r="I507" s="85">
        <f t="shared" si="40"/>
        <v>0</v>
      </c>
      <c r="J507" s="23">
        <f t="shared" si="41"/>
        <v>0</v>
      </c>
      <c r="K507" s="26"/>
      <c r="L507" s="27">
        <f t="shared" si="39"/>
        <v>0</v>
      </c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1:23" ht="20.100000000000001" customHeight="1" x14ac:dyDescent="0.2">
      <c r="A508" s="7">
        <v>497</v>
      </c>
      <c r="B508" s="8"/>
      <c r="C508" s="62"/>
      <c r="D508" s="1" t="str">
        <f t="shared" si="42"/>
        <v xml:space="preserve">, </v>
      </c>
      <c r="E508" s="1">
        <f t="shared" si="43"/>
        <v>497</v>
      </c>
      <c r="F508" s="15"/>
      <c r="G508" s="16"/>
      <c r="H508" s="16"/>
      <c r="I508" s="85">
        <f t="shared" si="40"/>
        <v>0</v>
      </c>
      <c r="J508" s="23">
        <f t="shared" si="41"/>
        <v>0</v>
      </c>
      <c r="K508" s="24"/>
      <c r="L508" s="25">
        <f>J508-K508</f>
        <v>0</v>
      </c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1:23" ht="20.100000000000001" customHeight="1" x14ac:dyDescent="0.2">
      <c r="A509" s="9">
        <v>498</v>
      </c>
      <c r="B509" s="10"/>
      <c r="C509" s="61"/>
      <c r="D509" s="1" t="str">
        <f t="shared" si="42"/>
        <v xml:space="preserve">, </v>
      </c>
      <c r="E509" s="1">
        <f t="shared" si="43"/>
        <v>498</v>
      </c>
      <c r="F509" s="17"/>
      <c r="G509" s="18"/>
      <c r="H509" s="18"/>
      <c r="I509" s="85">
        <f t="shared" si="40"/>
        <v>0</v>
      </c>
      <c r="J509" s="23">
        <f t="shared" si="41"/>
        <v>0</v>
      </c>
      <c r="K509" s="26"/>
      <c r="L509" s="27">
        <f>J509-K509</f>
        <v>0</v>
      </c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1:23" ht="20.100000000000001" customHeight="1" x14ac:dyDescent="0.2">
      <c r="A510" s="11">
        <v>499</v>
      </c>
      <c r="B510" s="12"/>
      <c r="C510" s="62"/>
      <c r="D510" s="1" t="str">
        <f t="shared" si="42"/>
        <v xml:space="preserve">, </v>
      </c>
      <c r="E510" s="1">
        <f t="shared" si="43"/>
        <v>499</v>
      </c>
      <c r="F510" s="19"/>
      <c r="G510" s="20"/>
      <c r="H510" s="20"/>
      <c r="I510" s="85">
        <f t="shared" si="40"/>
        <v>0</v>
      </c>
      <c r="J510" s="23">
        <f t="shared" si="41"/>
        <v>0</v>
      </c>
      <c r="K510" s="28"/>
      <c r="L510" s="27">
        <f>J510-K510</f>
        <v>0</v>
      </c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1:23" ht="20.100000000000001" customHeight="1" thickBot="1" x14ac:dyDescent="0.25">
      <c r="A511" s="13">
        <v>500</v>
      </c>
      <c r="B511" s="14"/>
      <c r="C511" s="63"/>
      <c r="D511" s="1" t="str">
        <f t="shared" si="42"/>
        <v xml:space="preserve">, </v>
      </c>
      <c r="E511" s="1">
        <f t="shared" si="43"/>
        <v>500</v>
      </c>
      <c r="F511" s="21"/>
      <c r="G511" s="22"/>
      <c r="H511" s="22"/>
      <c r="I511" s="86">
        <f t="shared" si="40"/>
        <v>0</v>
      </c>
      <c r="J511" s="23">
        <f t="shared" si="41"/>
        <v>0</v>
      </c>
      <c r="K511" s="29"/>
      <c r="L511" s="30">
        <f>J511-K511</f>
        <v>0</v>
      </c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1:23" ht="20.100000000000001" customHeight="1" x14ac:dyDescent="0.2">
      <c r="J512" s="3"/>
      <c r="K512" s="4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</sheetData>
  <sheetProtection sheet="1" objects="1" scenarios="1"/>
  <mergeCells count="12">
    <mergeCell ref="B10:F10"/>
    <mergeCell ref="G9:J9"/>
    <mergeCell ref="K9:M9"/>
    <mergeCell ref="B1:C1"/>
    <mergeCell ref="B2:C2"/>
    <mergeCell ref="B3:C3"/>
    <mergeCell ref="F1:I1"/>
    <mergeCell ref="B5:C5"/>
    <mergeCell ref="B4:C4"/>
    <mergeCell ref="F4:I4"/>
    <mergeCell ref="F5:I5"/>
    <mergeCell ref="B7:I7"/>
  </mergeCells>
  <hyperlinks>
    <hyperlink ref="K2" r:id="rId1" display="www.mariannasfundraisers.com/submit-your-order" xr:uid="{BD354EDC-D981-4D40-9DAC-030F791D5EC6}"/>
  </hyperlinks>
  <pageMargins left="0.35" right="0" top="0.25" bottom="0.25" header="0.51180555555555596" footer="1.1805556E-2"/>
  <pageSetup scale="77" firstPageNumber="0" fitToHeight="17" orientation="landscape" r:id="rId2"/>
  <headerFooter alignWithMargins="0">
    <oddFooter>Page &amp;P of &amp;N</oddFooter>
  </headerFooter>
  <rowBreaks count="1" manualBreakCount="1">
    <brk id="35" max="16383" man="1"/>
  </rowBreaks>
  <ignoredErrors>
    <ignoredError sqref="I12:I13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4"/>
  <sheetViews>
    <sheetView zoomScaleNormal="100" workbookViewId="0">
      <selection activeCell="S5" sqref="S5"/>
    </sheetView>
  </sheetViews>
  <sheetFormatPr defaultRowHeight="12.75" x14ac:dyDescent="0.2"/>
  <cols>
    <col min="1" max="1" width="48.5703125" customWidth="1"/>
    <col min="2" max="2" width="16.28515625" customWidth="1"/>
    <col min="3" max="3" width="21.140625" customWidth="1"/>
    <col min="5" max="5" width="9.85546875" customWidth="1"/>
    <col min="7" max="7" width="9.7109375" customWidth="1"/>
    <col min="8" max="8" width="10.42578125" customWidth="1"/>
    <col min="9" max="9" width="9.7109375" customWidth="1"/>
    <col min="13" max="13" width="15.85546875" customWidth="1"/>
  </cols>
  <sheetData>
    <row r="1" spans="1:13" ht="31.5" customHeight="1" x14ac:dyDescent="0.35">
      <c r="A1" s="35" t="s">
        <v>4</v>
      </c>
      <c r="B1" s="124" t="s">
        <v>32</v>
      </c>
      <c r="C1" s="124"/>
      <c r="D1" s="36"/>
      <c r="E1" s="36"/>
      <c r="F1" s="36"/>
      <c r="G1" s="36"/>
      <c r="H1" s="36"/>
      <c r="I1" s="36"/>
    </row>
    <row r="2" spans="1:13" ht="31.5" hidden="1" customHeight="1" x14ac:dyDescent="0.35">
      <c r="A2" s="35"/>
      <c r="B2" s="71"/>
      <c r="C2" s="71"/>
      <c r="D2" s="36"/>
      <c r="E2" s="36"/>
      <c r="F2" s="36"/>
      <c r="G2" s="36"/>
      <c r="H2" s="36"/>
      <c r="I2" s="36"/>
    </row>
    <row r="3" spans="1:13" ht="23.25" customHeight="1" x14ac:dyDescent="0.35">
      <c r="A3" s="35" t="s">
        <v>5</v>
      </c>
      <c r="B3" s="125">
        <f>IFERROR(VLOOKUP(B1,'Order Sheet Summary'!$D$12:$E$511,2,FALSE),0)</f>
        <v>1</v>
      </c>
      <c r="C3" s="125"/>
      <c r="D3" s="36"/>
      <c r="E3" s="36"/>
      <c r="F3" s="36"/>
      <c r="G3" s="36"/>
      <c r="H3" s="36"/>
      <c r="I3" s="36"/>
    </row>
    <row r="4" spans="1:13" ht="23.25" customHeight="1" x14ac:dyDescent="0.35">
      <c r="A4" s="35"/>
      <c r="B4" s="66"/>
      <c r="C4" s="66"/>
      <c r="D4" s="36"/>
      <c r="E4" s="36"/>
      <c r="F4" s="36"/>
      <c r="G4" s="36"/>
      <c r="H4" s="36"/>
      <c r="I4" s="36"/>
    </row>
    <row r="5" spans="1:13" ht="25.5" customHeight="1" x14ac:dyDescent="0.35">
      <c r="A5" s="68" t="s">
        <v>27</v>
      </c>
      <c r="B5" s="68">
        <f>IFERROR(VLOOKUP($B$1,'Order Sheet Summary'!$D$12:$H$511,3,FALSE),0)</f>
        <v>0</v>
      </c>
      <c r="C5" s="35"/>
      <c r="D5" s="135" t="s">
        <v>25</v>
      </c>
      <c r="E5" s="136"/>
      <c r="F5" s="136"/>
      <c r="G5" s="136"/>
      <c r="H5" s="136"/>
      <c r="I5" s="136"/>
      <c r="J5" s="136"/>
      <c r="K5" s="136"/>
      <c r="L5" s="136"/>
      <c r="M5" s="137"/>
    </row>
    <row r="6" spans="1:13" ht="25.5" customHeight="1" x14ac:dyDescent="0.35">
      <c r="A6" s="69" t="s">
        <v>28</v>
      </c>
      <c r="B6" s="69">
        <f>IFERROR(VLOOKUP($B$1,'Order Sheet Summary'!$D$12:$H$511,4,FALSE),0)</f>
        <v>0</v>
      </c>
      <c r="C6" s="35"/>
      <c r="D6" s="132" t="s">
        <v>39</v>
      </c>
      <c r="E6" s="133"/>
      <c r="F6" s="133"/>
      <c r="G6" s="133"/>
      <c r="H6" s="133"/>
      <c r="I6" s="133"/>
      <c r="J6" s="133"/>
      <c r="K6" s="133"/>
      <c r="L6" s="133"/>
      <c r="M6" s="134"/>
    </row>
    <row r="7" spans="1:13" ht="25.5" customHeight="1" thickBot="1" x14ac:dyDescent="0.4">
      <c r="A7" s="68" t="s">
        <v>29</v>
      </c>
      <c r="B7" s="68">
        <f>IFERROR(VLOOKUP($B$1,'Order Sheet Summary'!$D$12:$H$511,5,FALSE),0)</f>
        <v>0</v>
      </c>
      <c r="C7" s="35"/>
      <c r="D7" s="77"/>
      <c r="E7" s="78"/>
      <c r="F7" s="78"/>
      <c r="G7" s="78"/>
      <c r="H7" s="78"/>
      <c r="I7" s="78"/>
      <c r="J7" s="78"/>
      <c r="K7" s="78"/>
      <c r="L7" s="78"/>
      <c r="M7" s="79"/>
    </row>
    <row r="8" spans="1:13" ht="25.5" customHeight="1" thickBot="1" x14ac:dyDescent="0.4">
      <c r="A8" s="70" t="s">
        <v>33</v>
      </c>
      <c r="B8" s="72">
        <f>SUM(B5:B7)</f>
        <v>0</v>
      </c>
      <c r="C8" s="35"/>
      <c r="D8" s="126" t="s">
        <v>23</v>
      </c>
      <c r="E8" s="127"/>
      <c r="F8" s="127"/>
      <c r="G8" s="127"/>
      <c r="H8" s="127"/>
      <c r="I8" s="127"/>
      <c r="J8" s="127"/>
      <c r="K8" s="127"/>
      <c r="L8" s="127"/>
      <c r="M8" s="128"/>
    </row>
    <row r="9" spans="1:13" ht="25.5" x14ac:dyDescent="0.35">
      <c r="A9" s="81"/>
      <c r="B9" s="82"/>
      <c r="C9" s="35"/>
      <c r="D9" s="129" t="s">
        <v>19</v>
      </c>
      <c r="E9" s="130"/>
      <c r="F9" s="130"/>
      <c r="G9" s="130"/>
      <c r="H9" s="130"/>
      <c r="I9" s="130"/>
      <c r="J9" s="130"/>
      <c r="K9" s="130"/>
      <c r="L9" s="130"/>
      <c r="M9" s="131"/>
    </row>
    <row r="10" spans="1:13" ht="25.5" x14ac:dyDescent="0.35">
      <c r="A10" s="81"/>
      <c r="B10" s="82"/>
      <c r="C10" s="35"/>
      <c r="D10" s="73" t="s">
        <v>18</v>
      </c>
      <c r="E10" s="74"/>
      <c r="F10" s="74"/>
      <c r="G10" s="74"/>
      <c r="H10" s="74"/>
      <c r="I10" s="74"/>
      <c r="J10" s="74"/>
      <c r="K10" s="74"/>
      <c r="L10" s="74"/>
      <c r="M10" s="75"/>
    </row>
    <row r="11" spans="1:13" ht="26.25" thickBot="1" x14ac:dyDescent="0.4">
      <c r="C11" s="35"/>
      <c r="D11" s="36"/>
      <c r="E11" s="36"/>
      <c r="F11" s="36"/>
      <c r="G11" s="36"/>
      <c r="H11" s="36"/>
      <c r="I11" s="36"/>
    </row>
    <row r="12" spans="1:13" ht="25.5" x14ac:dyDescent="0.35">
      <c r="A12" s="67" t="s">
        <v>15</v>
      </c>
      <c r="B12" s="67"/>
      <c r="C12" s="35"/>
      <c r="D12" s="80" t="s">
        <v>24</v>
      </c>
      <c r="E12" s="38"/>
      <c r="F12" s="38"/>
      <c r="G12" s="39"/>
      <c r="H12" s="39"/>
      <c r="I12" s="39"/>
      <c r="J12" s="40"/>
      <c r="K12" s="40"/>
      <c r="L12" s="40"/>
      <c r="M12" s="41"/>
    </row>
    <row r="13" spans="1:13" ht="35.25" customHeight="1" x14ac:dyDescent="0.35">
      <c r="A13" s="67" t="s">
        <v>14</v>
      </c>
      <c r="C13" s="35"/>
      <c r="D13" s="42" t="s">
        <v>6</v>
      </c>
      <c r="E13" s="43"/>
      <c r="F13" s="43"/>
      <c r="G13" s="44"/>
      <c r="H13" s="44"/>
      <c r="I13" s="44"/>
      <c r="J13" s="45"/>
      <c r="K13" s="45"/>
      <c r="L13" s="45"/>
      <c r="M13" s="46"/>
    </row>
    <row r="14" spans="1:13" ht="33.75" customHeight="1" x14ac:dyDescent="0.35">
      <c r="C14" s="35"/>
      <c r="D14" s="42" t="s">
        <v>20</v>
      </c>
      <c r="E14" s="43"/>
      <c r="F14" s="43"/>
      <c r="G14" s="44"/>
      <c r="H14" s="44"/>
      <c r="I14" s="44"/>
      <c r="J14" s="45"/>
      <c r="K14" s="45"/>
      <c r="L14" s="45"/>
      <c r="M14" s="46"/>
    </row>
    <row r="15" spans="1:13" ht="25.5" x14ac:dyDescent="0.35">
      <c r="C15" s="35"/>
      <c r="D15" s="42" t="s">
        <v>7</v>
      </c>
      <c r="E15" s="43"/>
      <c r="F15" s="43"/>
      <c r="G15" s="44"/>
      <c r="H15" s="44"/>
      <c r="I15" s="44"/>
      <c r="J15" s="45"/>
      <c r="K15" s="45"/>
      <c r="L15" s="45"/>
      <c r="M15" s="46"/>
    </row>
    <row r="16" spans="1:13" ht="25.5" x14ac:dyDescent="0.35">
      <c r="C16" s="35"/>
      <c r="D16" s="42" t="s">
        <v>22</v>
      </c>
      <c r="E16" s="43"/>
      <c r="F16" s="43"/>
      <c r="G16" s="47"/>
      <c r="H16" s="47"/>
      <c r="I16" s="44"/>
      <c r="J16" s="45"/>
      <c r="K16" s="45"/>
      <c r="L16" s="45"/>
      <c r="M16" s="46"/>
    </row>
    <row r="17" spans="3:14" ht="26.25" thickBot="1" x14ac:dyDescent="0.4">
      <c r="C17" s="35"/>
      <c r="D17" s="48" t="s">
        <v>21</v>
      </c>
      <c r="E17" s="49"/>
      <c r="F17" s="49"/>
      <c r="G17" s="50"/>
      <c r="H17" s="50"/>
      <c r="I17" s="50"/>
      <c r="J17" s="51"/>
      <c r="K17" s="51"/>
      <c r="L17" s="51"/>
      <c r="M17" s="52"/>
    </row>
    <row r="18" spans="3:14" ht="33" customHeight="1" x14ac:dyDescent="0.35">
      <c r="C18" s="35"/>
      <c r="D18" s="36"/>
      <c r="F18" s="76"/>
      <c r="G18" s="76"/>
      <c r="H18" s="76"/>
      <c r="I18" s="76"/>
      <c r="J18" s="76"/>
      <c r="K18" s="76"/>
      <c r="L18" s="76"/>
      <c r="M18" s="76"/>
      <c r="N18" s="76"/>
    </row>
    <row r="19" spans="3:14" ht="25.5" x14ac:dyDescent="0.35">
      <c r="C19" s="35"/>
      <c r="D19" s="37"/>
      <c r="E19" s="36"/>
      <c r="F19" s="36"/>
      <c r="G19" s="36"/>
      <c r="H19" s="36"/>
      <c r="I19" s="36"/>
    </row>
    <row r="20" spans="3:14" ht="26.25" customHeight="1" x14ac:dyDescent="0.35">
      <c r="C20" s="35"/>
      <c r="I20" s="36"/>
    </row>
    <row r="21" spans="3:14" ht="28.5" customHeight="1" x14ac:dyDescent="0.35">
      <c r="C21" s="35"/>
    </row>
    <row r="22" spans="3:14" ht="28.5" customHeight="1" x14ac:dyDescent="0.35">
      <c r="C22" s="35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</row>
    <row r="24" spans="3:14" ht="25.5" x14ac:dyDescent="0.35">
      <c r="C24" s="67"/>
    </row>
  </sheetData>
  <sheetProtection sheet="1" objects="1" scenarios="1"/>
  <mergeCells count="6">
    <mergeCell ref="B1:C1"/>
    <mergeCell ref="B3:C3"/>
    <mergeCell ref="D8:M8"/>
    <mergeCell ref="D9:M9"/>
    <mergeCell ref="D6:M6"/>
    <mergeCell ref="D5:M5"/>
  </mergeCells>
  <printOptions horizontalCentered="1" verticalCentered="1"/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B1:C2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4B5A6073231A45B6858C5D482DB0E6" ma:contentTypeVersion="5" ma:contentTypeDescription="Create a new document." ma:contentTypeScope="" ma:versionID="7c057a94333758fddf466a6c63fc0e83">
  <xsd:schema xmlns:xsd="http://www.w3.org/2001/XMLSchema" xmlns:xs="http://www.w3.org/2001/XMLSchema" xmlns:p="http://schemas.microsoft.com/office/2006/metadata/properties" xmlns:ns3="aa95f3a6-6c61-4abb-8829-1ba52f8c568d" targetNamespace="http://schemas.microsoft.com/office/2006/metadata/properties" ma:root="true" ma:fieldsID="72c750375075300dd224b1e56c4b940f" ns3:_="">
    <xsd:import namespace="aa95f3a6-6c61-4abb-8829-1ba52f8c568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95f3a6-6c61-4abb-8829-1ba52f8c56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D1F563-8758-48C9-BA4C-3EA6061ACF5A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a95f3a6-6c61-4abb-8829-1ba52f8c568d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2449EF9-8C12-47AB-BFAE-533C4C537D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95f3a6-6c61-4abb-8829-1ba52f8c56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Order Sheet Summary</vt:lpstr>
      <vt:lpstr>Order Pulling Sheet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Diane Harris</cp:lastModifiedBy>
  <cp:lastPrinted>2025-06-27T18:02:01Z</cp:lastPrinted>
  <dcterms:created xsi:type="dcterms:W3CDTF">2016-02-17T16:56:42Z</dcterms:created>
  <dcterms:modified xsi:type="dcterms:W3CDTF">2026-02-27T16:11:16Z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0x010100574B5A6073231A45B6858C5D482DB0E6</vt:lpwstr>
  </property>
</Properties>
</file>